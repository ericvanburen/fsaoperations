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11325" windowHeight="8040"/>
  </bookViews>
  <sheets>
    <sheet name="Sample 1" sheetId="8" r:id="rId1"/>
    <sheet name="Sample 2" sheetId="9" r:id="rId2"/>
    <sheet name="Sample 3" sheetId="10" r:id="rId3"/>
    <sheet name="Sample 4" sheetId="11" r:id="rId4"/>
    <sheet name="Sample 5" sheetId="12" r:id="rId5"/>
    <sheet name="Sample 6" sheetId="13" r:id="rId6"/>
    <sheet name="Sample 7" sheetId="14" r:id="rId7"/>
    <sheet name="Sample 8" sheetId="23" r:id="rId8"/>
    <sheet name="Sample 9" sheetId="15" r:id="rId9"/>
    <sheet name="Sample 10" sheetId="16" r:id="rId10"/>
    <sheet name="Sample 11" sheetId="36" r:id="rId11"/>
    <sheet name="Sample 12" sheetId="17" r:id="rId12"/>
    <sheet name="Sample 13" sheetId="18" r:id="rId13"/>
    <sheet name="Sample 14" sheetId="19" r:id="rId14"/>
    <sheet name="Sample 15" sheetId="20" r:id="rId15"/>
    <sheet name="Sample 16" sheetId="21" r:id="rId16"/>
    <sheet name="Sample 17" sheetId="22" r:id="rId17"/>
    <sheet name="Sample 18" sheetId="24" r:id="rId18"/>
    <sheet name="Sample 19" sheetId="25" r:id="rId19"/>
    <sheet name="Sample 20" sheetId="26" r:id="rId20"/>
    <sheet name="Sample 21" sheetId="27" r:id="rId21"/>
    <sheet name="Sample 22" sheetId="28" r:id="rId22"/>
    <sheet name="Sample 23" sheetId="29" r:id="rId23"/>
    <sheet name="Sample 24" sheetId="30" r:id="rId24"/>
    <sheet name="Sample 25" sheetId="31" r:id="rId25"/>
    <sheet name="Sample 26" sheetId="32" r:id="rId26"/>
    <sheet name="Sample 27" sheetId="33" r:id="rId27"/>
    <sheet name="Sample 28" sheetId="34" r:id="rId28"/>
    <sheet name="Sample 29" sheetId="35" r:id="rId29"/>
    <sheet name="Sample 30" sheetId="38" r:id="rId30"/>
    <sheet name="Blank Worksheet" sheetId="7" r:id="rId31"/>
    <sheet name="Notes" sheetId="5" r:id="rId32"/>
  </sheets>
  <definedNames>
    <definedName name="_Toc482623834" localSheetId="31">Notes!#REF!</definedName>
    <definedName name="NameList" localSheetId="0">#REF!</definedName>
    <definedName name="NameList" localSheetId="9">#REF!</definedName>
    <definedName name="NameList" localSheetId="10">#REF!</definedName>
    <definedName name="NameList" localSheetId="11">#REF!</definedName>
    <definedName name="NameList" localSheetId="12">#REF!</definedName>
    <definedName name="NameList" localSheetId="13">#REF!</definedName>
    <definedName name="NameList" localSheetId="14">#REF!</definedName>
    <definedName name="NameList" localSheetId="15">#REF!</definedName>
    <definedName name="NameList" localSheetId="16">#REF!</definedName>
    <definedName name="NameList" localSheetId="17">#REF!</definedName>
    <definedName name="NameList" localSheetId="18">#REF!</definedName>
    <definedName name="NameList" localSheetId="1">#REF!</definedName>
    <definedName name="NameList" localSheetId="19">#REF!</definedName>
    <definedName name="NameList" localSheetId="20">#REF!</definedName>
    <definedName name="NameList" localSheetId="21">#REF!</definedName>
    <definedName name="NameList" localSheetId="22">#REF!</definedName>
    <definedName name="NameList" localSheetId="23">#REF!</definedName>
    <definedName name="NameList" localSheetId="24">#REF!</definedName>
    <definedName name="NameList" localSheetId="25">#REF!</definedName>
    <definedName name="NameList" localSheetId="26">#REF!</definedName>
    <definedName name="NameList" localSheetId="27">#REF!</definedName>
    <definedName name="NameList" localSheetId="28">#REF!</definedName>
    <definedName name="NameList" localSheetId="2">#REF!</definedName>
    <definedName name="NameList" localSheetId="29">#REF!</definedName>
    <definedName name="NameList" localSheetId="3">#REF!</definedName>
    <definedName name="NameList" localSheetId="4">#REF!</definedName>
    <definedName name="NameList" localSheetId="5">#REF!</definedName>
    <definedName name="NameList" localSheetId="6">#REF!</definedName>
    <definedName name="NameList" localSheetId="7">#REF!</definedName>
    <definedName name="NameList" localSheetId="8">#REF!</definedName>
    <definedName name="NameList">#REF!</definedName>
    <definedName name="ViolationNumber" localSheetId="0">#REF!</definedName>
    <definedName name="ViolationNumber" localSheetId="9">#REF!</definedName>
    <definedName name="ViolationNumber" localSheetId="10">#REF!</definedName>
    <definedName name="ViolationNumber" localSheetId="11">#REF!</definedName>
    <definedName name="ViolationNumber" localSheetId="12">#REF!</definedName>
    <definedName name="ViolationNumber" localSheetId="13">#REF!</definedName>
    <definedName name="ViolationNumber" localSheetId="14">#REF!</definedName>
    <definedName name="ViolationNumber" localSheetId="15">#REF!</definedName>
    <definedName name="ViolationNumber" localSheetId="16">#REF!</definedName>
    <definedName name="ViolationNumber" localSheetId="17">#REF!</definedName>
    <definedName name="ViolationNumber" localSheetId="18">#REF!</definedName>
    <definedName name="ViolationNumber" localSheetId="1">#REF!</definedName>
    <definedName name="ViolationNumber" localSheetId="19">#REF!</definedName>
    <definedName name="ViolationNumber" localSheetId="20">#REF!</definedName>
    <definedName name="ViolationNumber" localSheetId="21">#REF!</definedName>
    <definedName name="ViolationNumber" localSheetId="22">#REF!</definedName>
    <definedName name="ViolationNumber" localSheetId="23">#REF!</definedName>
    <definedName name="ViolationNumber" localSheetId="24">#REF!</definedName>
    <definedName name="ViolationNumber" localSheetId="25">#REF!</definedName>
    <definedName name="ViolationNumber" localSheetId="26">#REF!</definedName>
    <definedName name="ViolationNumber" localSheetId="27">#REF!</definedName>
    <definedName name="ViolationNumber" localSheetId="28">#REF!</definedName>
    <definedName name="ViolationNumber" localSheetId="2">#REF!</definedName>
    <definedName name="ViolationNumber" localSheetId="29">#REF!</definedName>
    <definedName name="ViolationNumber" localSheetId="3">#REF!</definedName>
    <definedName name="ViolationNumber" localSheetId="4">#REF!</definedName>
    <definedName name="ViolationNumber" localSheetId="5">#REF!</definedName>
    <definedName name="ViolationNumber" localSheetId="6">#REF!</definedName>
    <definedName name="ViolationNumber" localSheetId="7">#REF!</definedName>
    <definedName name="ViolationNumber" localSheetId="8">#REF!</definedName>
    <definedName name="ViolationNumber">#REF!</definedName>
  </definedNames>
  <calcPr calcId="145621"/>
</workbook>
</file>

<file path=xl/calcChain.xml><?xml version="1.0" encoding="utf-8"?>
<calcChain xmlns="http://schemas.openxmlformats.org/spreadsheetml/2006/main">
  <c r="F55" i="38" l="1"/>
  <c r="F54" i="38"/>
  <c r="F51" i="38" s="1"/>
  <c r="F53" i="38"/>
  <c r="F52" i="38"/>
  <c r="F50" i="38"/>
  <c r="F46" i="38" s="1"/>
  <c r="F45" i="38" s="1"/>
  <c r="F49" i="38"/>
  <c r="F48" i="38"/>
  <c r="F47" i="38"/>
  <c r="F44" i="38"/>
  <c r="F43" i="38"/>
  <c r="F42" i="38"/>
  <c r="F41" i="38"/>
  <c r="F40" i="38"/>
  <c r="F39" i="38"/>
  <c r="F38" i="38"/>
  <c r="F36" i="38" s="1"/>
  <c r="F34" i="38" s="1"/>
  <c r="F37" i="38"/>
  <c r="F35" i="38"/>
  <c r="F33" i="38"/>
  <c r="F32" i="38"/>
  <c r="F31" i="38"/>
  <c r="F30" i="38"/>
  <c r="F29" i="38"/>
  <c r="F28" i="38"/>
  <c r="F27" i="38"/>
  <c r="F26" i="38"/>
  <c r="F25" i="38" s="1"/>
  <c r="F24" i="38"/>
  <c r="F23" i="38"/>
  <c r="F22" i="38"/>
  <c r="F20" i="38" s="1"/>
  <c r="F21" i="38"/>
  <c r="F19" i="38"/>
  <c r="F18" i="38"/>
  <c r="F17" i="38" s="1"/>
  <c r="F16" i="38"/>
  <c r="F15" i="38"/>
  <c r="F14" i="38"/>
  <c r="F12" i="38"/>
  <c r="F11" i="38"/>
  <c r="F10" i="38"/>
  <c r="F7" i="38" s="1"/>
  <c r="F9" i="38"/>
  <c r="F8" i="38"/>
  <c r="F6" i="38"/>
  <c r="F3" i="38" s="1"/>
  <c r="F5" i="38"/>
  <c r="F4" i="38"/>
  <c r="F55" i="36"/>
  <c r="F54" i="36"/>
  <c r="F53" i="36"/>
  <c r="F52" i="36"/>
  <c r="F51" i="36"/>
  <c r="F50" i="36"/>
  <c r="F49" i="36"/>
  <c r="F48" i="36"/>
  <c r="F47" i="36"/>
  <c r="F46" i="36" s="1"/>
  <c r="F45" i="36" s="1"/>
  <c r="F44" i="36"/>
  <c r="F43" i="36"/>
  <c r="F42" i="36" s="1"/>
  <c r="F41" i="36"/>
  <c r="F40" i="36"/>
  <c r="F39" i="36"/>
  <c r="F38" i="36"/>
  <c r="F37" i="36"/>
  <c r="F36" i="36" s="1"/>
  <c r="F35" i="36"/>
  <c r="F33" i="36"/>
  <c r="F32" i="36"/>
  <c r="F31" i="36"/>
  <c r="F30" i="36"/>
  <c r="F29" i="36"/>
  <c r="F28" i="36"/>
  <c r="F27" i="36"/>
  <c r="F25" i="36" s="1"/>
  <c r="F26" i="36"/>
  <c r="F24" i="36"/>
  <c r="F23" i="36"/>
  <c r="F22" i="36"/>
  <c r="F21" i="36"/>
  <c r="F20" i="36" s="1"/>
  <c r="F19" i="36"/>
  <c r="F18" i="36"/>
  <c r="F17" i="36" s="1"/>
  <c r="F16" i="36"/>
  <c r="F15" i="36"/>
  <c r="F14" i="36" s="1"/>
  <c r="F12" i="36"/>
  <c r="F11" i="36"/>
  <c r="F7" i="36" s="1"/>
  <c r="F10" i="36"/>
  <c r="F9" i="36"/>
  <c r="F8" i="36"/>
  <c r="F6" i="36"/>
  <c r="F5" i="36"/>
  <c r="F4" i="36"/>
  <c r="F3" i="36"/>
  <c r="F55" i="35"/>
  <c r="F54" i="35"/>
  <c r="F51" i="35" s="1"/>
  <c r="F53" i="35"/>
  <c r="F52" i="35"/>
  <c r="F50" i="35"/>
  <c r="F46" i="35" s="1"/>
  <c r="F49" i="35"/>
  <c r="F48" i="35"/>
  <c r="F47" i="35"/>
  <c r="F44" i="35"/>
  <c r="F43" i="35"/>
  <c r="F42" i="35"/>
  <c r="F41" i="35"/>
  <c r="F40" i="35"/>
  <c r="F39" i="35"/>
  <c r="F38" i="35"/>
  <c r="F37" i="35"/>
  <c r="F36" i="35" s="1"/>
  <c r="F34" i="35" s="1"/>
  <c r="F35" i="35"/>
  <c r="F33" i="35"/>
  <c r="F32" i="35"/>
  <c r="F31" i="35"/>
  <c r="F30" i="35"/>
  <c r="F29" i="35"/>
  <c r="F28" i="35"/>
  <c r="F27" i="35"/>
  <c r="F26" i="35"/>
  <c r="F25" i="35" s="1"/>
  <c r="F24" i="35"/>
  <c r="F23" i="35"/>
  <c r="F22" i="35"/>
  <c r="F21" i="35"/>
  <c r="F20" i="35" s="1"/>
  <c r="F19" i="35"/>
  <c r="F18" i="35"/>
  <c r="F17" i="35" s="1"/>
  <c r="F16" i="35"/>
  <c r="F15" i="35"/>
  <c r="F14" i="35"/>
  <c r="F12" i="35"/>
  <c r="F11" i="35"/>
  <c r="F10" i="35"/>
  <c r="F7" i="35" s="1"/>
  <c r="F9" i="35"/>
  <c r="F8" i="35"/>
  <c r="F6" i="35"/>
  <c r="F3" i="35" s="1"/>
  <c r="F5" i="35"/>
  <c r="F4" i="35"/>
  <c r="F55" i="34"/>
  <c r="F54" i="34"/>
  <c r="F53" i="34"/>
  <c r="F52" i="34"/>
  <c r="F51" i="34"/>
  <c r="F50" i="34"/>
  <c r="F49" i="34"/>
  <c r="F48" i="34"/>
  <c r="F47" i="34"/>
  <c r="F46" i="34" s="1"/>
  <c r="F45" i="34" s="1"/>
  <c r="F44" i="34"/>
  <c r="F43" i="34"/>
  <c r="F42" i="34" s="1"/>
  <c r="F41" i="34"/>
  <c r="F40" i="34"/>
  <c r="F39" i="34"/>
  <c r="F36" i="34" s="1"/>
  <c r="F38" i="34"/>
  <c r="F37" i="34"/>
  <c r="F35" i="34"/>
  <c r="F33" i="34"/>
  <c r="F32" i="34"/>
  <c r="F31" i="34"/>
  <c r="F30" i="34"/>
  <c r="F29" i="34"/>
  <c r="F28" i="34"/>
  <c r="F27" i="34"/>
  <c r="F25" i="34" s="1"/>
  <c r="F26" i="34"/>
  <c r="F24" i="34"/>
  <c r="F23" i="34"/>
  <c r="F20" i="34" s="1"/>
  <c r="F22" i="34"/>
  <c r="F21" i="34"/>
  <c r="F19" i="34"/>
  <c r="F18" i="34"/>
  <c r="F17" i="34" s="1"/>
  <c r="F16" i="34"/>
  <c r="F15" i="34"/>
  <c r="F14" i="34" s="1"/>
  <c r="F12" i="34"/>
  <c r="F11" i="34"/>
  <c r="F7" i="34" s="1"/>
  <c r="F10" i="34"/>
  <c r="F9" i="34"/>
  <c r="F8" i="34"/>
  <c r="F6" i="34"/>
  <c r="F5" i="34"/>
  <c r="F4" i="34"/>
  <c r="F3" i="34"/>
  <c r="F55" i="33"/>
  <c r="F54" i="33"/>
  <c r="F53" i="33"/>
  <c r="F52" i="33"/>
  <c r="F51" i="33"/>
  <c r="F50" i="33"/>
  <c r="F49" i="33"/>
  <c r="F48" i="33"/>
  <c r="F47" i="33"/>
  <c r="F46" i="33" s="1"/>
  <c r="F45" i="33" s="1"/>
  <c r="F44" i="33"/>
  <c r="F43" i="33"/>
  <c r="F42" i="33" s="1"/>
  <c r="F41" i="33"/>
  <c r="F40" i="33"/>
  <c r="F39" i="33"/>
  <c r="F36" i="33" s="1"/>
  <c r="F38" i="33"/>
  <c r="F37" i="33"/>
  <c r="F35" i="33"/>
  <c r="F33" i="33"/>
  <c r="F32" i="33"/>
  <c r="F31" i="33"/>
  <c r="F30" i="33"/>
  <c r="F29" i="33"/>
  <c r="F28" i="33"/>
  <c r="F27" i="33"/>
  <c r="F25" i="33" s="1"/>
  <c r="F26" i="33"/>
  <c r="F24" i="33"/>
  <c r="F23" i="33"/>
  <c r="F20" i="33" s="1"/>
  <c r="F22" i="33"/>
  <c r="F21" i="33"/>
  <c r="F19" i="33"/>
  <c r="F17" i="33" s="1"/>
  <c r="F18" i="33"/>
  <c r="F16" i="33"/>
  <c r="F15" i="33"/>
  <c r="F14" i="33" s="1"/>
  <c r="F12" i="33"/>
  <c r="F11" i="33"/>
  <c r="F7" i="33" s="1"/>
  <c r="F10" i="33"/>
  <c r="F9" i="33"/>
  <c r="F8" i="33"/>
  <c r="F6" i="33"/>
  <c r="F5" i="33"/>
  <c r="F4" i="33"/>
  <c r="F3" i="33"/>
  <c r="F55" i="32"/>
  <c r="F54" i="32"/>
  <c r="F51" i="32" s="1"/>
  <c r="F53" i="32"/>
  <c r="F52" i="32"/>
  <c r="F50" i="32"/>
  <c r="F46" i="32" s="1"/>
  <c r="F45" i="32" s="1"/>
  <c r="F49" i="32"/>
  <c r="F48" i="32"/>
  <c r="F47" i="32"/>
  <c r="F44" i="32"/>
  <c r="F43" i="32"/>
  <c r="F42" i="32"/>
  <c r="F41" i="32"/>
  <c r="F40" i="32"/>
  <c r="F39" i="32"/>
  <c r="F38" i="32"/>
  <c r="F36" i="32" s="1"/>
  <c r="F34" i="32" s="1"/>
  <c r="F37" i="32"/>
  <c r="F35" i="32"/>
  <c r="F33" i="32"/>
  <c r="F32" i="32"/>
  <c r="F31" i="32"/>
  <c r="F30" i="32"/>
  <c r="F29" i="32"/>
  <c r="F28" i="32"/>
  <c r="F27" i="32"/>
  <c r="F26" i="32"/>
  <c r="F25" i="32" s="1"/>
  <c r="F24" i="32"/>
  <c r="F23" i="32"/>
  <c r="F22" i="32"/>
  <c r="F20" i="32" s="1"/>
  <c r="F21" i="32"/>
  <c r="F19" i="32"/>
  <c r="F18" i="32"/>
  <c r="F17" i="32" s="1"/>
  <c r="F16" i="32"/>
  <c r="F15" i="32"/>
  <c r="F14" i="32"/>
  <c r="F12" i="32"/>
  <c r="F11" i="32"/>
  <c r="F10" i="32"/>
  <c r="F7" i="32" s="1"/>
  <c r="F9" i="32"/>
  <c r="F8" i="32"/>
  <c r="F6" i="32"/>
  <c r="F3" i="32" s="1"/>
  <c r="F5" i="32"/>
  <c r="F4" i="32"/>
  <c r="F55" i="31"/>
  <c r="F54" i="31"/>
  <c r="F51" i="31" s="1"/>
  <c r="F53" i="31"/>
  <c r="F52" i="31"/>
  <c r="F50" i="31"/>
  <c r="F46" i="31" s="1"/>
  <c r="F45" i="31" s="1"/>
  <c r="F49" i="31"/>
  <c r="F48" i="31"/>
  <c r="F47" i="31"/>
  <c r="F44" i="31"/>
  <c r="F43" i="31"/>
  <c r="F42" i="31"/>
  <c r="F41" i="31"/>
  <c r="F40" i="31"/>
  <c r="F39" i="31"/>
  <c r="F38" i="31"/>
  <c r="F36" i="31" s="1"/>
  <c r="F34" i="31" s="1"/>
  <c r="F37" i="31"/>
  <c r="F35" i="31"/>
  <c r="F33" i="31"/>
  <c r="F32" i="31"/>
  <c r="F31" i="31"/>
  <c r="F30" i="31"/>
  <c r="F29" i="31"/>
  <c r="F28" i="31"/>
  <c r="F27" i="31"/>
  <c r="F26" i="31"/>
  <c r="F25" i="31" s="1"/>
  <c r="F24" i="31"/>
  <c r="F23" i="31"/>
  <c r="F22" i="31"/>
  <c r="F20" i="31" s="1"/>
  <c r="F21" i="31"/>
  <c r="F19" i="31"/>
  <c r="F18" i="31"/>
  <c r="F17" i="31" s="1"/>
  <c r="F16" i="31"/>
  <c r="F15" i="31"/>
  <c r="F14" i="31"/>
  <c r="F12" i="31"/>
  <c r="F11" i="31"/>
  <c r="F10" i="31"/>
  <c r="F7" i="31" s="1"/>
  <c r="F9" i="31"/>
  <c r="F8" i="31"/>
  <c r="F6" i="31"/>
  <c r="F3" i="31" s="1"/>
  <c r="F5" i="31"/>
  <c r="F4" i="31"/>
  <c r="F55" i="30"/>
  <c r="F54" i="30"/>
  <c r="F51" i="30" s="1"/>
  <c r="F53" i="30"/>
  <c r="F52" i="30"/>
  <c r="F50" i="30"/>
  <c r="F49" i="30"/>
  <c r="F48" i="30"/>
  <c r="F47" i="30"/>
  <c r="F46" i="30"/>
  <c r="F44" i="30"/>
  <c r="F43" i="30"/>
  <c r="F42" i="30"/>
  <c r="F41" i="30"/>
  <c r="F40" i="30"/>
  <c r="F39" i="30"/>
  <c r="F38" i="30"/>
  <c r="F37" i="30"/>
  <c r="F36" i="30" s="1"/>
  <c r="F34" i="30" s="1"/>
  <c r="F35" i="30"/>
  <c r="F33" i="30"/>
  <c r="F32" i="30"/>
  <c r="F31" i="30"/>
  <c r="F30" i="30"/>
  <c r="F29" i="30"/>
  <c r="F28" i="30"/>
  <c r="F27" i="30"/>
  <c r="F26" i="30"/>
  <c r="F25" i="30" s="1"/>
  <c r="F24" i="30"/>
  <c r="F23" i="30"/>
  <c r="F22" i="30"/>
  <c r="F20" i="30" s="1"/>
  <c r="F21" i="30"/>
  <c r="F19" i="30"/>
  <c r="F18" i="30"/>
  <c r="F17" i="30" s="1"/>
  <c r="F16" i="30"/>
  <c r="F15" i="30"/>
  <c r="F14" i="30"/>
  <c r="F12" i="30"/>
  <c r="F11" i="30"/>
  <c r="F10" i="30"/>
  <c r="F7" i="30" s="1"/>
  <c r="F9" i="30"/>
  <c r="F8" i="30"/>
  <c r="F6" i="30"/>
  <c r="F3" i="30" s="1"/>
  <c r="F5" i="30"/>
  <c r="F4" i="30"/>
  <c r="F55" i="29"/>
  <c r="F54" i="29"/>
  <c r="F51" i="29" s="1"/>
  <c r="F53" i="29"/>
  <c r="F52" i="29"/>
  <c r="F50" i="29"/>
  <c r="F49" i="29"/>
  <c r="F48" i="29"/>
  <c r="F47" i="29"/>
  <c r="F46" i="29"/>
  <c r="F45" i="29" s="1"/>
  <c r="F44" i="29"/>
  <c r="F43" i="29"/>
  <c r="F42" i="29"/>
  <c r="F41" i="29"/>
  <c r="F40" i="29"/>
  <c r="F39" i="29"/>
  <c r="F38" i="29"/>
  <c r="F36" i="29" s="1"/>
  <c r="F34" i="29" s="1"/>
  <c r="F37" i="29"/>
  <c r="F35" i="29"/>
  <c r="F33" i="29"/>
  <c r="F32" i="29"/>
  <c r="F31" i="29"/>
  <c r="F30" i="29"/>
  <c r="F29" i="29"/>
  <c r="F28" i="29"/>
  <c r="F27" i="29"/>
  <c r="F26" i="29"/>
  <c r="F25" i="29" s="1"/>
  <c r="F24" i="29"/>
  <c r="F23" i="29"/>
  <c r="F22" i="29"/>
  <c r="F20" i="29" s="1"/>
  <c r="F21" i="29"/>
  <c r="F19" i="29"/>
  <c r="F18" i="29"/>
  <c r="F17" i="29" s="1"/>
  <c r="F16" i="29"/>
  <c r="F15" i="29"/>
  <c r="F14" i="29"/>
  <c r="F12" i="29"/>
  <c r="F11" i="29"/>
  <c r="F10" i="29"/>
  <c r="F7" i="29" s="1"/>
  <c r="F9" i="29"/>
  <c r="F8" i="29"/>
  <c r="F6" i="29"/>
  <c r="F3" i="29" s="1"/>
  <c r="F5" i="29"/>
  <c r="F4" i="29"/>
  <c r="F55" i="28"/>
  <c r="F54" i="28"/>
  <c r="F51" i="28" s="1"/>
  <c r="F53" i="28"/>
  <c r="F52" i="28"/>
  <c r="F50" i="28"/>
  <c r="F46" i="28" s="1"/>
  <c r="F49" i="28"/>
  <c r="F48" i="28"/>
  <c r="F47" i="28"/>
  <c r="F44" i="28"/>
  <c r="F43" i="28"/>
  <c r="F42" i="28"/>
  <c r="F41" i="28"/>
  <c r="F40" i="28"/>
  <c r="F39" i="28"/>
  <c r="F38" i="28"/>
  <c r="F36" i="28" s="1"/>
  <c r="F34" i="28" s="1"/>
  <c r="F37" i="28"/>
  <c r="F35" i="28"/>
  <c r="F33" i="28"/>
  <c r="F32" i="28"/>
  <c r="F31" i="28"/>
  <c r="F30" i="28"/>
  <c r="F29" i="28"/>
  <c r="F28" i="28"/>
  <c r="F27" i="28"/>
  <c r="F26" i="28"/>
  <c r="F25" i="28" s="1"/>
  <c r="F24" i="28"/>
  <c r="F23" i="28"/>
  <c r="F22" i="28"/>
  <c r="F20" i="28" s="1"/>
  <c r="F21" i="28"/>
  <c r="F19" i="28"/>
  <c r="F18" i="28"/>
  <c r="F17" i="28" s="1"/>
  <c r="F16" i="28"/>
  <c r="F15" i="28"/>
  <c r="F14" i="28"/>
  <c r="F12" i="28"/>
  <c r="F11" i="28"/>
  <c r="F10" i="28"/>
  <c r="F7" i="28" s="1"/>
  <c r="F9" i="28"/>
  <c r="F8" i="28"/>
  <c r="F6" i="28"/>
  <c r="F3" i="28" s="1"/>
  <c r="F5" i="28"/>
  <c r="F4" i="28"/>
  <c r="F55" i="27"/>
  <c r="F54" i="27"/>
  <c r="F51" i="27" s="1"/>
  <c r="F53" i="27"/>
  <c r="F52" i="27"/>
  <c r="F50" i="27"/>
  <c r="F46" i="27" s="1"/>
  <c r="F45" i="27" s="1"/>
  <c r="F49" i="27"/>
  <c r="F48" i="27"/>
  <c r="F47" i="27"/>
  <c r="F44" i="27"/>
  <c r="F43" i="27"/>
  <c r="F42" i="27"/>
  <c r="F41" i="27"/>
  <c r="F40" i="27"/>
  <c r="F39" i="27"/>
  <c r="F38" i="27"/>
  <c r="F37" i="27"/>
  <c r="F36" i="27" s="1"/>
  <c r="F34" i="27" s="1"/>
  <c r="F35" i="27"/>
  <c r="F33" i="27"/>
  <c r="F32" i="27"/>
  <c r="F31" i="27"/>
  <c r="F30" i="27"/>
  <c r="F29" i="27"/>
  <c r="F28" i="27"/>
  <c r="F27" i="27"/>
  <c r="F26" i="27"/>
  <c r="F25" i="27" s="1"/>
  <c r="F24" i="27"/>
  <c r="F23" i="27"/>
  <c r="F22" i="27"/>
  <c r="F21" i="27"/>
  <c r="F20" i="27" s="1"/>
  <c r="F19" i="27"/>
  <c r="F18" i="27"/>
  <c r="F17" i="27" s="1"/>
  <c r="F16" i="27"/>
  <c r="F15" i="27"/>
  <c r="F14" i="27"/>
  <c r="F12" i="27"/>
  <c r="F11" i="27"/>
  <c r="F10" i="27"/>
  <c r="F7" i="27" s="1"/>
  <c r="F9" i="27"/>
  <c r="F8" i="27"/>
  <c r="F6" i="27"/>
  <c r="F3" i="27" s="1"/>
  <c r="F5" i="27"/>
  <c r="F4" i="27"/>
  <c r="F55" i="26"/>
  <c r="F54" i="26"/>
  <c r="F51" i="26" s="1"/>
  <c r="F53" i="26"/>
  <c r="F52" i="26"/>
  <c r="F50" i="26"/>
  <c r="F46" i="26" s="1"/>
  <c r="F45" i="26" s="1"/>
  <c r="F49" i="26"/>
  <c r="F48" i="26"/>
  <c r="F47" i="26"/>
  <c r="F44" i="26"/>
  <c r="F43" i="26"/>
  <c r="F42" i="26"/>
  <c r="F41" i="26"/>
  <c r="F40" i="26"/>
  <c r="F39" i="26"/>
  <c r="F38" i="26"/>
  <c r="F37" i="26"/>
  <c r="F36" i="26" s="1"/>
  <c r="F34" i="26" s="1"/>
  <c r="F35" i="26"/>
  <c r="F33" i="26"/>
  <c r="F32" i="26"/>
  <c r="F31" i="26"/>
  <c r="F30" i="26"/>
  <c r="F29" i="26"/>
  <c r="F28" i="26"/>
  <c r="F27" i="26"/>
  <c r="F26" i="26"/>
  <c r="F25" i="26" s="1"/>
  <c r="F24" i="26"/>
  <c r="F23" i="26"/>
  <c r="F22" i="26"/>
  <c r="F21" i="26"/>
  <c r="F20" i="26" s="1"/>
  <c r="F19" i="26"/>
  <c r="F18" i="26"/>
  <c r="F17" i="26" s="1"/>
  <c r="F16" i="26"/>
  <c r="F15" i="26"/>
  <c r="F14" i="26"/>
  <c r="F12" i="26"/>
  <c r="F11" i="26"/>
  <c r="F10" i="26"/>
  <c r="F7" i="26" s="1"/>
  <c r="F9" i="26"/>
  <c r="F8" i="26"/>
  <c r="F6" i="26"/>
  <c r="F3" i="26" s="1"/>
  <c r="F5" i="26"/>
  <c r="F4" i="26"/>
  <c r="F55" i="25"/>
  <c r="F54" i="25"/>
  <c r="F51" i="25" s="1"/>
  <c r="F53" i="25"/>
  <c r="F52" i="25"/>
  <c r="F50" i="25"/>
  <c r="F46" i="25" s="1"/>
  <c r="F49" i="25"/>
  <c r="F48" i="25"/>
  <c r="F47" i="25"/>
  <c r="F44" i="25"/>
  <c r="F43" i="25"/>
  <c r="F42" i="25"/>
  <c r="F41" i="25"/>
  <c r="F40" i="25"/>
  <c r="F39" i="25"/>
  <c r="F38" i="25"/>
  <c r="F37" i="25"/>
  <c r="F36" i="25" s="1"/>
  <c r="F34" i="25" s="1"/>
  <c r="F35" i="25"/>
  <c r="F33" i="25"/>
  <c r="F32" i="25"/>
  <c r="F31" i="25"/>
  <c r="F30" i="25"/>
  <c r="F29" i="25"/>
  <c r="F28" i="25"/>
  <c r="F27" i="25"/>
  <c r="F26" i="25"/>
  <c r="F25" i="25" s="1"/>
  <c r="F24" i="25"/>
  <c r="F23" i="25"/>
  <c r="F22" i="25"/>
  <c r="F21" i="25"/>
  <c r="F20" i="25" s="1"/>
  <c r="F19" i="25"/>
  <c r="F18" i="25"/>
  <c r="F17" i="25" s="1"/>
  <c r="F16" i="25"/>
  <c r="F15" i="25"/>
  <c r="F14" i="25"/>
  <c r="F12" i="25"/>
  <c r="F11" i="25"/>
  <c r="F10" i="25"/>
  <c r="F7" i="25" s="1"/>
  <c r="F9" i="25"/>
  <c r="F8" i="25"/>
  <c r="F6" i="25"/>
  <c r="F3" i="25" s="1"/>
  <c r="F5" i="25"/>
  <c r="F4" i="25"/>
  <c r="F55" i="24"/>
  <c r="F54" i="24"/>
  <c r="F51" i="24" s="1"/>
  <c r="F53" i="24"/>
  <c r="F52" i="24"/>
  <c r="F50" i="24"/>
  <c r="F46" i="24" s="1"/>
  <c r="F49" i="24"/>
  <c r="F48" i="24"/>
  <c r="F47" i="24"/>
  <c r="F44" i="24"/>
  <c r="F43" i="24"/>
  <c r="F42" i="24"/>
  <c r="F41" i="24"/>
  <c r="F40" i="24"/>
  <c r="F39" i="24"/>
  <c r="F38" i="24"/>
  <c r="F37" i="24"/>
  <c r="F36" i="24" s="1"/>
  <c r="F34" i="24" s="1"/>
  <c r="F35" i="24"/>
  <c r="F33" i="24"/>
  <c r="F32" i="24"/>
  <c r="F31" i="24"/>
  <c r="F30" i="24"/>
  <c r="F29" i="24"/>
  <c r="F28" i="24"/>
  <c r="F27" i="24"/>
  <c r="F26" i="24"/>
  <c r="F25" i="24" s="1"/>
  <c r="F24" i="24"/>
  <c r="F23" i="24"/>
  <c r="F22" i="24"/>
  <c r="F21" i="24"/>
  <c r="F20" i="24" s="1"/>
  <c r="F19" i="24"/>
  <c r="F18" i="24"/>
  <c r="F17" i="24" s="1"/>
  <c r="F16" i="24"/>
  <c r="F15" i="24"/>
  <c r="F14" i="24"/>
  <c r="F12" i="24"/>
  <c r="F11" i="24"/>
  <c r="F10" i="24"/>
  <c r="F7" i="24" s="1"/>
  <c r="F9" i="24"/>
  <c r="F8" i="24"/>
  <c r="F6" i="24"/>
  <c r="F3" i="24" s="1"/>
  <c r="F5" i="24"/>
  <c r="F4" i="24"/>
  <c r="F55" i="23"/>
  <c r="F54" i="23"/>
  <c r="F51" i="23" s="1"/>
  <c r="F53" i="23"/>
  <c r="F52" i="23"/>
  <c r="F50" i="23"/>
  <c r="F49" i="23"/>
  <c r="F48" i="23"/>
  <c r="F47" i="23"/>
  <c r="F46" i="23"/>
  <c r="F44" i="23"/>
  <c r="F43" i="23"/>
  <c r="F42" i="23"/>
  <c r="F41" i="23"/>
  <c r="F40" i="23"/>
  <c r="F39" i="23"/>
  <c r="F38" i="23"/>
  <c r="F37" i="23"/>
  <c r="F36" i="23" s="1"/>
  <c r="F34" i="23" s="1"/>
  <c r="F35" i="23"/>
  <c r="F33" i="23"/>
  <c r="F32" i="23"/>
  <c r="F31" i="23"/>
  <c r="F30" i="23"/>
  <c r="F29" i="23"/>
  <c r="F28" i="23"/>
  <c r="F27" i="23"/>
  <c r="F26" i="23"/>
  <c r="F25" i="23" s="1"/>
  <c r="F24" i="23"/>
  <c r="F23" i="23"/>
  <c r="F22" i="23"/>
  <c r="F21" i="23"/>
  <c r="F20" i="23" s="1"/>
  <c r="F19" i="23"/>
  <c r="F18" i="23"/>
  <c r="F17" i="23" s="1"/>
  <c r="F16" i="23"/>
  <c r="F15" i="23"/>
  <c r="F14" i="23"/>
  <c r="F12" i="23"/>
  <c r="F11" i="23"/>
  <c r="F10" i="23"/>
  <c r="F7" i="23" s="1"/>
  <c r="F9" i="23"/>
  <c r="F8" i="23"/>
  <c r="F6" i="23"/>
  <c r="F3" i="23" s="1"/>
  <c r="F5" i="23"/>
  <c r="F4" i="23"/>
  <c r="F55" i="22"/>
  <c r="F54" i="22"/>
  <c r="F51" i="22" s="1"/>
  <c r="F53" i="22"/>
  <c r="F52" i="22"/>
  <c r="F50" i="22"/>
  <c r="F46" i="22" s="1"/>
  <c r="F49" i="22"/>
  <c r="F48" i="22"/>
  <c r="F47" i="22"/>
  <c r="F44" i="22"/>
  <c r="F43" i="22"/>
  <c r="F42" i="22"/>
  <c r="F41" i="22"/>
  <c r="F40" i="22"/>
  <c r="F39" i="22"/>
  <c r="F38" i="22"/>
  <c r="F36" i="22" s="1"/>
  <c r="F34" i="22" s="1"/>
  <c r="F37" i="22"/>
  <c r="F35" i="22"/>
  <c r="F33" i="22"/>
  <c r="F32" i="22"/>
  <c r="F31" i="22"/>
  <c r="F30" i="22"/>
  <c r="F29" i="22"/>
  <c r="F28" i="22"/>
  <c r="F27" i="22"/>
  <c r="F26" i="22"/>
  <c r="F25" i="22" s="1"/>
  <c r="F24" i="22"/>
  <c r="F23" i="22"/>
  <c r="F22" i="22"/>
  <c r="F20" i="22" s="1"/>
  <c r="F21" i="22"/>
  <c r="F19" i="22"/>
  <c r="F18" i="22"/>
  <c r="F17" i="22" s="1"/>
  <c r="F16" i="22"/>
  <c r="F15" i="22"/>
  <c r="F14" i="22"/>
  <c r="F12" i="22"/>
  <c r="F11" i="22"/>
  <c r="F10" i="22"/>
  <c r="F7" i="22" s="1"/>
  <c r="F9" i="22"/>
  <c r="F8" i="22"/>
  <c r="F6" i="22"/>
  <c r="F3" i="22" s="1"/>
  <c r="F5" i="22"/>
  <c r="F4" i="22"/>
  <c r="F55" i="21"/>
  <c r="F54" i="21"/>
  <c r="F53" i="21"/>
  <c r="F52" i="21"/>
  <c r="F51" i="21" s="1"/>
  <c r="F50" i="21"/>
  <c r="F49" i="21"/>
  <c r="F48" i="21"/>
  <c r="F47" i="21"/>
  <c r="F46" i="21" s="1"/>
  <c r="F45" i="21" s="1"/>
  <c r="F44" i="21"/>
  <c r="F43" i="21"/>
  <c r="F42" i="21" s="1"/>
  <c r="F41" i="21"/>
  <c r="F40" i="21"/>
  <c r="F36" i="21" s="1"/>
  <c r="F39" i="21"/>
  <c r="F38" i="21"/>
  <c r="F37" i="21"/>
  <c r="F35" i="21"/>
  <c r="F33" i="21"/>
  <c r="F32" i="21"/>
  <c r="F31" i="21"/>
  <c r="F30" i="21"/>
  <c r="F29" i="21"/>
  <c r="F28" i="21"/>
  <c r="F25" i="21" s="1"/>
  <c r="F27" i="21"/>
  <c r="F26" i="21"/>
  <c r="F24" i="21"/>
  <c r="F20" i="21" s="1"/>
  <c r="F23" i="21"/>
  <c r="F22" i="21"/>
  <c r="F21" i="21"/>
  <c r="F19" i="21"/>
  <c r="F17" i="21" s="1"/>
  <c r="F18" i="21"/>
  <c r="F16" i="21"/>
  <c r="F15" i="21"/>
  <c r="F14" i="21" s="1"/>
  <c r="F12" i="21"/>
  <c r="F11" i="21"/>
  <c r="F10" i="21"/>
  <c r="F9" i="21"/>
  <c r="F8" i="21"/>
  <c r="F7" i="21" s="1"/>
  <c r="F6" i="21"/>
  <c r="F5" i="21"/>
  <c r="F4" i="21"/>
  <c r="F3" i="21" s="1"/>
  <c r="F55" i="20"/>
  <c r="F54" i="20"/>
  <c r="F51" i="20" s="1"/>
  <c r="F53" i="20"/>
  <c r="F52" i="20"/>
  <c r="F50" i="20"/>
  <c r="F49" i="20"/>
  <c r="F48" i="20"/>
  <c r="F47" i="20"/>
  <c r="F46" i="20"/>
  <c r="F44" i="20"/>
  <c r="F43" i="20"/>
  <c r="F42" i="20"/>
  <c r="F41" i="20"/>
  <c r="F40" i="20"/>
  <c r="F39" i="20"/>
  <c r="F38" i="20"/>
  <c r="F37" i="20"/>
  <c r="F36" i="20" s="1"/>
  <c r="F34" i="20" s="1"/>
  <c r="F35" i="20"/>
  <c r="F33" i="20"/>
  <c r="F32" i="20"/>
  <c r="F31" i="20"/>
  <c r="F30" i="20"/>
  <c r="F29" i="20"/>
  <c r="F28" i="20"/>
  <c r="F27" i="20"/>
  <c r="F26" i="20"/>
  <c r="F25" i="20" s="1"/>
  <c r="F24" i="20"/>
  <c r="F23" i="20"/>
  <c r="F22" i="20"/>
  <c r="F21" i="20"/>
  <c r="F20" i="20" s="1"/>
  <c r="F19" i="20"/>
  <c r="F18" i="20"/>
  <c r="F17" i="20" s="1"/>
  <c r="F16" i="20"/>
  <c r="F15" i="20"/>
  <c r="F14" i="20"/>
  <c r="F12" i="20"/>
  <c r="F11" i="20"/>
  <c r="F10" i="20"/>
  <c r="F7" i="20" s="1"/>
  <c r="F9" i="20"/>
  <c r="F8" i="20"/>
  <c r="F6" i="20"/>
  <c r="F3" i="20" s="1"/>
  <c r="F5" i="20"/>
  <c r="F4" i="20"/>
  <c r="F55" i="19"/>
  <c r="F54" i="19"/>
  <c r="F51" i="19" s="1"/>
  <c r="F53" i="19"/>
  <c r="F52" i="19"/>
  <c r="F50" i="19"/>
  <c r="F46" i="19" s="1"/>
  <c r="F49" i="19"/>
  <c r="F48" i="19"/>
  <c r="F47" i="19"/>
  <c r="F44" i="19"/>
  <c r="F43" i="19"/>
  <c r="F42" i="19"/>
  <c r="F41" i="19"/>
  <c r="F40" i="19"/>
  <c r="F39" i="19"/>
  <c r="F38" i="19"/>
  <c r="F37" i="19"/>
  <c r="F36" i="19" s="1"/>
  <c r="F34" i="19" s="1"/>
  <c r="F35" i="19"/>
  <c r="F33" i="19"/>
  <c r="F32" i="19"/>
  <c r="F31" i="19"/>
  <c r="F30" i="19"/>
  <c r="F29" i="19"/>
  <c r="F28" i="19"/>
  <c r="F27" i="19"/>
  <c r="F26" i="19"/>
  <c r="F25" i="19" s="1"/>
  <c r="F24" i="19"/>
  <c r="F23" i="19"/>
  <c r="F22" i="19"/>
  <c r="F21" i="19"/>
  <c r="F20" i="19" s="1"/>
  <c r="F19" i="19"/>
  <c r="F18" i="19"/>
  <c r="F17" i="19" s="1"/>
  <c r="F16" i="19"/>
  <c r="F15" i="19"/>
  <c r="F14" i="19"/>
  <c r="F12" i="19"/>
  <c r="F11" i="19"/>
  <c r="F10" i="19"/>
  <c r="F7" i="19" s="1"/>
  <c r="F9" i="19"/>
  <c r="F8" i="19"/>
  <c r="F6" i="19"/>
  <c r="F3" i="19" s="1"/>
  <c r="F5" i="19"/>
  <c r="F4" i="19"/>
  <c r="F55" i="18"/>
  <c r="F54" i="18"/>
  <c r="F51" i="18" s="1"/>
  <c r="F53" i="18"/>
  <c r="F52" i="18"/>
  <c r="F50" i="18"/>
  <c r="F49" i="18"/>
  <c r="F48" i="18"/>
  <c r="F47" i="18"/>
  <c r="F46" i="18"/>
  <c r="F44" i="18"/>
  <c r="F43" i="18"/>
  <c r="F42" i="18"/>
  <c r="F41" i="18"/>
  <c r="F40" i="18"/>
  <c r="F39" i="18"/>
  <c r="F38" i="18"/>
  <c r="F36" i="18" s="1"/>
  <c r="F34" i="18" s="1"/>
  <c r="F37" i="18"/>
  <c r="F35" i="18"/>
  <c r="F33" i="18"/>
  <c r="F32" i="18"/>
  <c r="F31" i="18"/>
  <c r="F30" i="18"/>
  <c r="F29" i="18"/>
  <c r="F28" i="18"/>
  <c r="F27" i="18"/>
  <c r="F26" i="18"/>
  <c r="F25" i="18" s="1"/>
  <c r="F24" i="18"/>
  <c r="F23" i="18"/>
  <c r="F22" i="18"/>
  <c r="F20" i="18" s="1"/>
  <c r="F21" i="18"/>
  <c r="F19" i="18"/>
  <c r="F18" i="18"/>
  <c r="F17" i="18" s="1"/>
  <c r="F16" i="18"/>
  <c r="F15" i="18"/>
  <c r="F14" i="18"/>
  <c r="F12" i="18"/>
  <c r="F11" i="18"/>
  <c r="F10" i="18"/>
  <c r="F7" i="18" s="1"/>
  <c r="F9" i="18"/>
  <c r="F8" i="18"/>
  <c r="F6" i="18"/>
  <c r="F3" i="18" s="1"/>
  <c r="F5" i="18"/>
  <c r="F4" i="18"/>
  <c r="F55" i="17"/>
  <c r="F54" i="17"/>
  <c r="F51" i="17" s="1"/>
  <c r="F53" i="17"/>
  <c r="F52" i="17"/>
  <c r="F50" i="17"/>
  <c r="F49" i="17"/>
  <c r="F48" i="17"/>
  <c r="F47" i="17"/>
  <c r="F46" i="17"/>
  <c r="F44" i="17"/>
  <c r="F43" i="17"/>
  <c r="F42" i="17"/>
  <c r="F41" i="17"/>
  <c r="F40" i="17"/>
  <c r="F39" i="17"/>
  <c r="F38" i="17"/>
  <c r="F36" i="17" s="1"/>
  <c r="F34" i="17" s="1"/>
  <c r="F37" i="17"/>
  <c r="F35" i="17"/>
  <c r="F33" i="17"/>
  <c r="F32" i="17"/>
  <c r="F31" i="17"/>
  <c r="F30" i="17"/>
  <c r="F29" i="17"/>
  <c r="F28" i="17"/>
  <c r="F27" i="17"/>
  <c r="F26" i="17"/>
  <c r="F25" i="17" s="1"/>
  <c r="F24" i="17"/>
  <c r="F23" i="17"/>
  <c r="F22" i="17"/>
  <c r="F20" i="17" s="1"/>
  <c r="F21" i="17"/>
  <c r="F19" i="17"/>
  <c r="F18" i="17"/>
  <c r="F17" i="17" s="1"/>
  <c r="F16" i="17"/>
  <c r="F15" i="17"/>
  <c r="F14" i="17"/>
  <c r="F12" i="17"/>
  <c r="F11" i="17"/>
  <c r="F10" i="17"/>
  <c r="F7" i="17" s="1"/>
  <c r="F9" i="17"/>
  <c r="F8" i="17"/>
  <c r="F6" i="17"/>
  <c r="F3" i="17" s="1"/>
  <c r="F5" i="17"/>
  <c r="F4" i="17"/>
  <c r="F55" i="16"/>
  <c r="F54" i="16"/>
  <c r="F53" i="16"/>
  <c r="F51" i="16" s="1"/>
  <c r="F52" i="16"/>
  <c r="F50" i="16"/>
  <c r="F49" i="16"/>
  <c r="F46" i="16" s="1"/>
  <c r="F48" i="16"/>
  <c r="F47" i="16"/>
  <c r="F44" i="16"/>
  <c r="F43" i="16"/>
  <c r="F42" i="16"/>
  <c r="F41" i="16"/>
  <c r="F40" i="16"/>
  <c r="F39" i="16"/>
  <c r="F38" i="16"/>
  <c r="F37" i="16"/>
  <c r="F36" i="16" s="1"/>
  <c r="F34" i="16" s="1"/>
  <c r="F35" i="16"/>
  <c r="F33" i="16"/>
  <c r="F32" i="16"/>
  <c r="F31" i="16"/>
  <c r="F30" i="16"/>
  <c r="F29" i="16"/>
  <c r="F28" i="16"/>
  <c r="F27" i="16"/>
  <c r="F26" i="16"/>
  <c r="F25" i="16"/>
  <c r="F24" i="16"/>
  <c r="F23" i="16"/>
  <c r="F22" i="16"/>
  <c r="F21" i="16"/>
  <c r="F20" i="16" s="1"/>
  <c r="F13" i="16" s="1"/>
  <c r="F19" i="16"/>
  <c r="F18" i="16"/>
  <c r="F17" i="16"/>
  <c r="F16" i="16"/>
  <c r="F15" i="16"/>
  <c r="F14" i="16"/>
  <c r="F12" i="16"/>
  <c r="F11" i="16"/>
  <c r="F10" i="16"/>
  <c r="F9" i="16"/>
  <c r="F7" i="16" s="1"/>
  <c r="F8" i="16"/>
  <c r="F6" i="16"/>
  <c r="F5" i="16"/>
  <c r="F3" i="16" s="1"/>
  <c r="F4" i="16"/>
  <c r="F55" i="15"/>
  <c r="F54" i="15"/>
  <c r="F51" i="15" s="1"/>
  <c r="F53" i="15"/>
  <c r="F52" i="15"/>
  <c r="F50" i="15"/>
  <c r="F49" i="15"/>
  <c r="F48" i="15"/>
  <c r="F47" i="15"/>
  <c r="F46" i="15"/>
  <c r="F44" i="15"/>
  <c r="F43" i="15"/>
  <c r="F42" i="15"/>
  <c r="F41" i="15"/>
  <c r="F40" i="15"/>
  <c r="F39" i="15"/>
  <c r="F38" i="15"/>
  <c r="F36" i="15" s="1"/>
  <c r="F34" i="15" s="1"/>
  <c r="F37" i="15"/>
  <c r="F35" i="15"/>
  <c r="F33" i="15"/>
  <c r="F32" i="15"/>
  <c r="F31" i="15"/>
  <c r="F30" i="15"/>
  <c r="F29" i="15"/>
  <c r="F28" i="15"/>
  <c r="F27" i="15"/>
  <c r="F26" i="15"/>
  <c r="F25" i="15" s="1"/>
  <c r="F24" i="15"/>
  <c r="F23" i="15"/>
  <c r="F22" i="15"/>
  <c r="F20" i="15" s="1"/>
  <c r="F21" i="15"/>
  <c r="F19" i="15"/>
  <c r="F18" i="15"/>
  <c r="F17" i="15" s="1"/>
  <c r="F16" i="15"/>
  <c r="F15" i="15"/>
  <c r="F14" i="15"/>
  <c r="F12" i="15"/>
  <c r="F11" i="15"/>
  <c r="F10" i="15"/>
  <c r="F7" i="15" s="1"/>
  <c r="F9" i="15"/>
  <c r="F8" i="15"/>
  <c r="F6" i="15"/>
  <c r="F3" i="15" s="1"/>
  <c r="F5" i="15"/>
  <c r="F4" i="15"/>
  <c r="F55" i="14"/>
  <c r="F54" i="14"/>
  <c r="F51" i="14" s="1"/>
  <c r="F53" i="14"/>
  <c r="F52" i="14"/>
  <c r="F50" i="14"/>
  <c r="F49" i="14"/>
  <c r="F48" i="14"/>
  <c r="F47" i="14"/>
  <c r="F46" i="14"/>
  <c r="F44" i="14"/>
  <c r="F43" i="14"/>
  <c r="F42" i="14"/>
  <c r="F41" i="14"/>
  <c r="F40" i="14"/>
  <c r="F39" i="14"/>
  <c r="F38" i="14"/>
  <c r="F37" i="14"/>
  <c r="F36" i="14" s="1"/>
  <c r="F34" i="14" s="1"/>
  <c r="F35" i="14"/>
  <c r="F33" i="14"/>
  <c r="F32" i="14"/>
  <c r="F31" i="14"/>
  <c r="F30" i="14"/>
  <c r="F29" i="14"/>
  <c r="F28" i="14"/>
  <c r="F27" i="14"/>
  <c r="F26" i="14"/>
  <c r="F25" i="14" s="1"/>
  <c r="F24" i="14"/>
  <c r="F23" i="14"/>
  <c r="F22" i="14"/>
  <c r="F21" i="14"/>
  <c r="F20" i="14" s="1"/>
  <c r="F19" i="14"/>
  <c r="F18" i="14"/>
  <c r="F17" i="14" s="1"/>
  <c r="F16" i="14"/>
  <c r="F15" i="14"/>
  <c r="F14" i="14"/>
  <c r="F12" i="14"/>
  <c r="F11" i="14"/>
  <c r="F10" i="14"/>
  <c r="F7" i="14" s="1"/>
  <c r="F9" i="14"/>
  <c r="F8" i="14"/>
  <c r="F6" i="14"/>
  <c r="F3" i="14" s="1"/>
  <c r="F5" i="14"/>
  <c r="F4" i="14"/>
  <c r="F55" i="13"/>
  <c r="F54" i="13"/>
  <c r="F51" i="13" s="1"/>
  <c r="F53" i="13"/>
  <c r="F52" i="13"/>
  <c r="F50" i="13"/>
  <c r="F49" i="13"/>
  <c r="F48" i="13"/>
  <c r="F47" i="13"/>
  <c r="F46" i="13"/>
  <c r="F44" i="13"/>
  <c r="F43" i="13"/>
  <c r="F42" i="13"/>
  <c r="F41" i="13"/>
  <c r="F40" i="13"/>
  <c r="F39" i="13"/>
  <c r="F38" i="13"/>
  <c r="F36" i="13" s="1"/>
  <c r="F34" i="13" s="1"/>
  <c r="F37" i="13"/>
  <c r="F35" i="13"/>
  <c r="F33" i="13"/>
  <c r="F32" i="13"/>
  <c r="F31" i="13"/>
  <c r="F30" i="13"/>
  <c r="F29" i="13"/>
  <c r="F28" i="13"/>
  <c r="F27" i="13"/>
  <c r="F26" i="13"/>
  <c r="F25" i="13" s="1"/>
  <c r="F24" i="13"/>
  <c r="F23" i="13"/>
  <c r="F22" i="13"/>
  <c r="F20" i="13" s="1"/>
  <c r="F21" i="13"/>
  <c r="F19" i="13"/>
  <c r="F18" i="13"/>
  <c r="F17" i="13" s="1"/>
  <c r="F16" i="13"/>
  <c r="F15" i="13"/>
  <c r="F14" i="13"/>
  <c r="F12" i="13"/>
  <c r="F11" i="13"/>
  <c r="F10" i="13"/>
  <c r="F7" i="13" s="1"/>
  <c r="F9" i="13"/>
  <c r="F8" i="13"/>
  <c r="F6" i="13"/>
  <c r="F3" i="13" s="1"/>
  <c r="F5" i="13"/>
  <c r="F4" i="13"/>
  <c r="F55" i="12"/>
  <c r="F54" i="12"/>
  <c r="F53" i="12"/>
  <c r="F52" i="12"/>
  <c r="F51" i="12"/>
  <c r="F50" i="12"/>
  <c r="F49" i="12"/>
  <c r="F48" i="12"/>
  <c r="F47" i="12"/>
  <c r="F46" i="12" s="1"/>
  <c r="F45" i="12" s="1"/>
  <c r="F44" i="12"/>
  <c r="F43" i="12"/>
  <c r="F42" i="12" s="1"/>
  <c r="F41" i="12"/>
  <c r="F40" i="12"/>
  <c r="F39" i="12"/>
  <c r="F36" i="12" s="1"/>
  <c r="F38" i="12"/>
  <c r="F37" i="12"/>
  <c r="F35" i="12"/>
  <c r="F33" i="12"/>
  <c r="F32" i="12"/>
  <c r="F31" i="12"/>
  <c r="F30" i="12"/>
  <c r="F29" i="12"/>
  <c r="F28" i="12"/>
  <c r="F27" i="12"/>
  <c r="F25" i="12" s="1"/>
  <c r="F26" i="12"/>
  <c r="F24" i="12"/>
  <c r="F23" i="12"/>
  <c r="F20" i="12" s="1"/>
  <c r="F22" i="12"/>
  <c r="F21" i="12"/>
  <c r="F19" i="12"/>
  <c r="F17" i="12" s="1"/>
  <c r="F18" i="12"/>
  <c r="F16" i="12"/>
  <c r="F15" i="12"/>
  <c r="F14" i="12" s="1"/>
  <c r="F12" i="12"/>
  <c r="F11" i="12"/>
  <c r="F7" i="12" s="1"/>
  <c r="F10" i="12"/>
  <c r="F9" i="12"/>
  <c r="F8" i="12"/>
  <c r="F6" i="12"/>
  <c r="F5" i="12"/>
  <c r="F4" i="12"/>
  <c r="F3" i="12"/>
  <c r="F55" i="11"/>
  <c r="F54" i="11"/>
  <c r="F51" i="11" s="1"/>
  <c r="F53" i="11"/>
  <c r="F52" i="11"/>
  <c r="F50" i="11"/>
  <c r="F49" i="11"/>
  <c r="F48" i="11"/>
  <c r="F47" i="11"/>
  <c r="F46" i="11"/>
  <c r="F44" i="11"/>
  <c r="F43" i="11"/>
  <c r="F42" i="11"/>
  <c r="F41" i="11"/>
  <c r="F40" i="11"/>
  <c r="F39" i="11"/>
  <c r="F38" i="11"/>
  <c r="F36" i="11" s="1"/>
  <c r="F34" i="11" s="1"/>
  <c r="F37" i="11"/>
  <c r="F35" i="11"/>
  <c r="F33" i="11"/>
  <c r="F32" i="11"/>
  <c r="F31" i="11"/>
  <c r="F30" i="11"/>
  <c r="F29" i="11"/>
  <c r="F28" i="11"/>
  <c r="F27" i="11"/>
  <c r="F26" i="11"/>
  <c r="F25" i="11" s="1"/>
  <c r="F24" i="11"/>
  <c r="F23" i="11"/>
  <c r="F22" i="11"/>
  <c r="F20" i="11" s="1"/>
  <c r="F21" i="11"/>
  <c r="F19" i="11"/>
  <c r="F18" i="11"/>
  <c r="F17" i="11" s="1"/>
  <c r="F16" i="11"/>
  <c r="F15" i="11"/>
  <c r="F14" i="11"/>
  <c r="F12" i="11"/>
  <c r="F11" i="11"/>
  <c r="F10" i="11"/>
  <c r="F7" i="11" s="1"/>
  <c r="F9" i="11"/>
  <c r="F8" i="11"/>
  <c r="F6" i="11"/>
  <c r="F3" i="11" s="1"/>
  <c r="F5" i="11"/>
  <c r="F4" i="11"/>
  <c r="F55" i="10"/>
  <c r="F54" i="10"/>
  <c r="F51" i="10" s="1"/>
  <c r="F53" i="10"/>
  <c r="F52" i="10"/>
  <c r="F50" i="10"/>
  <c r="F49" i="10"/>
  <c r="F48" i="10"/>
  <c r="F47" i="10"/>
  <c r="F46" i="10"/>
  <c r="F44" i="10"/>
  <c r="F43" i="10"/>
  <c r="F42" i="10"/>
  <c r="F41" i="10"/>
  <c r="F40" i="10"/>
  <c r="F39" i="10"/>
  <c r="F38" i="10"/>
  <c r="F37" i="10"/>
  <c r="F36" i="10" s="1"/>
  <c r="F34" i="10" s="1"/>
  <c r="F35" i="10"/>
  <c r="F33" i="10"/>
  <c r="F32" i="10"/>
  <c r="F31" i="10"/>
  <c r="F30" i="10"/>
  <c r="F29" i="10"/>
  <c r="F28" i="10"/>
  <c r="F27" i="10"/>
  <c r="F26" i="10"/>
  <c r="F25" i="10" s="1"/>
  <c r="F24" i="10"/>
  <c r="F23" i="10"/>
  <c r="F22" i="10"/>
  <c r="F21" i="10"/>
  <c r="F20" i="10" s="1"/>
  <c r="F19" i="10"/>
  <c r="F18" i="10"/>
  <c r="F17" i="10" s="1"/>
  <c r="F16" i="10"/>
  <c r="F15" i="10"/>
  <c r="F14" i="10"/>
  <c r="F12" i="10"/>
  <c r="F11" i="10"/>
  <c r="F10" i="10"/>
  <c r="F7" i="10" s="1"/>
  <c r="F9" i="10"/>
  <c r="F8" i="10"/>
  <c r="F6" i="10"/>
  <c r="F3" i="10" s="1"/>
  <c r="F5" i="10"/>
  <c r="F4" i="10"/>
  <c r="F55" i="9"/>
  <c r="F54" i="9"/>
  <c r="F51" i="9" s="1"/>
  <c r="F53" i="9"/>
  <c r="F52" i="9"/>
  <c r="F50" i="9"/>
  <c r="F46" i="9" s="1"/>
  <c r="F49" i="9"/>
  <c r="F48" i="9"/>
  <c r="F47" i="9"/>
  <c r="F44" i="9"/>
  <c r="F43" i="9"/>
  <c r="F42" i="9"/>
  <c r="F41" i="9"/>
  <c r="F40" i="9"/>
  <c r="F39" i="9"/>
  <c r="F38" i="9"/>
  <c r="F37" i="9"/>
  <c r="F36" i="9" s="1"/>
  <c r="F34" i="9" s="1"/>
  <c r="F35" i="9"/>
  <c r="F33" i="9"/>
  <c r="F32" i="9"/>
  <c r="F31" i="9"/>
  <c r="F30" i="9"/>
  <c r="F29" i="9"/>
  <c r="F28" i="9"/>
  <c r="F27" i="9"/>
  <c r="F26" i="9"/>
  <c r="F25" i="9" s="1"/>
  <c r="F24" i="9"/>
  <c r="F23" i="9"/>
  <c r="F22" i="9"/>
  <c r="F21" i="9"/>
  <c r="F20" i="9" s="1"/>
  <c r="F19" i="9"/>
  <c r="F18" i="9"/>
  <c r="F17" i="9" s="1"/>
  <c r="F16" i="9"/>
  <c r="F15" i="9"/>
  <c r="F14" i="9"/>
  <c r="F12" i="9"/>
  <c r="F11" i="9"/>
  <c r="F10" i="9"/>
  <c r="F7" i="9" s="1"/>
  <c r="F9" i="9"/>
  <c r="F8" i="9"/>
  <c r="F6" i="9"/>
  <c r="F3" i="9" s="1"/>
  <c r="F5" i="9"/>
  <c r="F4" i="9"/>
  <c r="F55" i="8"/>
  <c r="F54" i="8"/>
  <c r="F53" i="8"/>
  <c r="F52" i="8"/>
  <c r="F51" i="8" s="1"/>
  <c r="F50" i="8"/>
  <c r="F49" i="8"/>
  <c r="F48" i="8"/>
  <c r="F47" i="8"/>
  <c r="F46" i="8" s="1"/>
  <c r="F45" i="8" s="1"/>
  <c r="E56" i="8" s="1"/>
  <c r="E57" i="8" s="1"/>
  <c r="F44" i="8"/>
  <c r="F43" i="8"/>
  <c r="F42" i="8" s="1"/>
  <c r="F41" i="8"/>
  <c r="F40" i="8"/>
  <c r="F36" i="8" s="1"/>
  <c r="F34" i="8" s="1"/>
  <c r="F39" i="8"/>
  <c r="F38" i="8"/>
  <c r="F37" i="8"/>
  <c r="F35" i="8"/>
  <c r="F33" i="8"/>
  <c r="F32" i="8"/>
  <c r="F31" i="8"/>
  <c r="F30" i="8"/>
  <c r="F29" i="8"/>
  <c r="F28" i="8"/>
  <c r="F25" i="8" s="1"/>
  <c r="F27" i="8"/>
  <c r="F26" i="8"/>
  <c r="F24" i="8"/>
  <c r="F20" i="8" s="1"/>
  <c r="F23" i="8"/>
  <c r="F22" i="8"/>
  <c r="F21" i="8"/>
  <c r="F19" i="8"/>
  <c r="F18" i="8"/>
  <c r="F17" i="8"/>
  <c r="F16" i="8"/>
  <c r="F14" i="8" s="1"/>
  <c r="F13" i="8" s="1"/>
  <c r="F15" i="8"/>
  <c r="F12" i="8"/>
  <c r="F11" i="8"/>
  <c r="F10" i="8"/>
  <c r="F9" i="8"/>
  <c r="F8" i="8"/>
  <c r="F7" i="8" s="1"/>
  <c r="F6" i="8"/>
  <c r="F5" i="8"/>
  <c r="F4" i="8"/>
  <c r="F3" i="8" s="1"/>
  <c r="F13" i="38" l="1"/>
  <c r="E56" i="38" s="1"/>
  <c r="E57" i="38" s="1"/>
  <c r="F13" i="36"/>
  <c r="F34" i="36"/>
  <c r="E56" i="36"/>
  <c r="E57" i="36" s="1"/>
  <c r="F13" i="35"/>
  <c r="F45" i="35"/>
  <c r="E56" i="35" s="1"/>
  <c r="E57" i="35" s="1"/>
  <c r="F13" i="34"/>
  <c r="F34" i="34"/>
  <c r="E56" i="34"/>
  <c r="E57" i="34" s="1"/>
  <c r="F13" i="33"/>
  <c r="F34" i="33"/>
  <c r="E56" i="33"/>
  <c r="E57" i="33" s="1"/>
  <c r="F13" i="32"/>
  <c r="E56" i="32" s="1"/>
  <c r="E57" i="32" s="1"/>
  <c r="F13" i="31"/>
  <c r="E56" i="31"/>
  <c r="E57" i="31" s="1"/>
  <c r="F13" i="30"/>
  <c r="F45" i="30"/>
  <c r="E56" i="30" s="1"/>
  <c r="E57" i="30" s="1"/>
  <c r="F13" i="29"/>
  <c r="E56" i="29"/>
  <c r="E57" i="29" s="1"/>
  <c r="F13" i="28"/>
  <c r="F45" i="28"/>
  <c r="E56" i="28" s="1"/>
  <c r="E57" i="28" s="1"/>
  <c r="F13" i="27"/>
  <c r="E56" i="27"/>
  <c r="E57" i="27" s="1"/>
  <c r="F13" i="26"/>
  <c r="E56" i="26" s="1"/>
  <c r="E57" i="26" s="1"/>
  <c r="F13" i="25"/>
  <c r="F45" i="25"/>
  <c r="E56" i="25" s="1"/>
  <c r="E57" i="25" s="1"/>
  <c r="F13" i="24"/>
  <c r="F45" i="24"/>
  <c r="E56" i="24" s="1"/>
  <c r="E57" i="24" s="1"/>
  <c r="F13" i="23"/>
  <c r="F45" i="23"/>
  <c r="E56" i="23" s="1"/>
  <c r="E57" i="23" s="1"/>
  <c r="F13" i="22"/>
  <c r="F45" i="22"/>
  <c r="E56" i="22" s="1"/>
  <c r="E57" i="22" s="1"/>
  <c r="F13" i="21"/>
  <c r="F34" i="21"/>
  <c r="E56" i="21"/>
  <c r="E57" i="21" s="1"/>
  <c r="F13" i="20"/>
  <c r="F45" i="20"/>
  <c r="F13" i="19"/>
  <c r="F45" i="19"/>
  <c r="E56" i="19" s="1"/>
  <c r="E57" i="19" s="1"/>
  <c r="F13" i="18"/>
  <c r="F45" i="18"/>
  <c r="E56" i="18" s="1"/>
  <c r="E57" i="18" s="1"/>
  <c r="F13" i="17"/>
  <c r="F45" i="17"/>
  <c r="F45" i="16"/>
  <c r="E56" i="16" s="1"/>
  <c r="E57" i="16" s="1"/>
  <c r="F13" i="15"/>
  <c r="F45" i="15"/>
  <c r="E56" i="15" s="1"/>
  <c r="E57" i="15" s="1"/>
  <c r="F13" i="14"/>
  <c r="F45" i="14"/>
  <c r="E56" i="14" s="1"/>
  <c r="E57" i="14" s="1"/>
  <c r="F13" i="13"/>
  <c r="F45" i="13"/>
  <c r="E56" i="13" s="1"/>
  <c r="E57" i="13" s="1"/>
  <c r="F13" i="12"/>
  <c r="F34" i="12"/>
  <c r="E56" i="12"/>
  <c r="E57" i="12" s="1"/>
  <c r="F13" i="11"/>
  <c r="F45" i="11"/>
  <c r="E56" i="11" s="1"/>
  <c r="E57" i="11" s="1"/>
  <c r="F13" i="10"/>
  <c r="F45" i="10"/>
  <c r="E56" i="10" s="1"/>
  <c r="E57" i="10" s="1"/>
  <c r="F13" i="9"/>
  <c r="F45" i="9"/>
  <c r="F55" i="7"/>
  <c r="F54" i="7"/>
  <c r="F53" i="7"/>
  <c r="F52" i="7"/>
  <c r="F50" i="7"/>
  <c r="F49" i="7"/>
  <c r="F48" i="7"/>
  <c r="F47" i="7"/>
  <c r="F44" i="7"/>
  <c r="F35" i="7"/>
  <c r="F37" i="7"/>
  <c r="F38" i="7"/>
  <c r="F39" i="7"/>
  <c r="F40" i="7"/>
  <c r="F41" i="7"/>
  <c r="F43" i="7"/>
  <c r="F42" i="7" s="1"/>
  <c r="F33" i="7"/>
  <c r="F32" i="7"/>
  <c r="F31" i="7"/>
  <c r="F30" i="7"/>
  <c r="F29" i="7"/>
  <c r="F28" i="7"/>
  <c r="F27" i="7"/>
  <c r="F26" i="7"/>
  <c r="F24" i="7"/>
  <c r="F23" i="7"/>
  <c r="F22" i="7"/>
  <c r="F21" i="7"/>
  <c r="F19" i="7"/>
  <c r="F18" i="7"/>
  <c r="F17" i="7" s="1"/>
  <c r="F16" i="7"/>
  <c r="F15" i="7"/>
  <c r="F8" i="7"/>
  <c r="F12" i="7"/>
  <c r="F11" i="7"/>
  <c r="F10" i="7"/>
  <c r="F9" i="7"/>
  <c r="F4" i="7"/>
  <c r="F6" i="7"/>
  <c r="F5" i="7"/>
  <c r="E56" i="20" l="1"/>
  <c r="E57" i="20" s="1"/>
  <c r="E56" i="17"/>
  <c r="E57" i="17" s="1"/>
  <c r="E56" i="9"/>
  <c r="E57" i="9" s="1"/>
  <c r="F51" i="7"/>
  <c r="F46" i="7"/>
  <c r="F45" i="7" s="1"/>
  <c r="E56" i="7" s="1"/>
  <c r="E57" i="7" s="1"/>
  <c r="F20" i="7"/>
  <c r="F14" i="7"/>
  <c r="F36" i="7"/>
  <c r="F34" i="7" s="1"/>
  <c r="F25" i="7"/>
  <c r="F7" i="7"/>
  <c r="F3" i="7"/>
  <c r="F13" i="7" l="1"/>
</calcChain>
</file>

<file path=xl/sharedStrings.xml><?xml version="1.0" encoding="utf-8"?>
<sst xmlns="http://schemas.openxmlformats.org/spreadsheetml/2006/main" count="2573" uniqueCount="82">
  <si>
    <t>Yes</t>
  </si>
  <si>
    <t>No</t>
  </si>
  <si>
    <t>N/A</t>
  </si>
  <si>
    <t xml:space="preserve">Case worker checks to see if there is an existing Ombudsman Case. (Ex: Did the case worker verify there is an existing Ombudsman case and if there is, did the case worker verify the case has already been routed to Ombudsman upon receiving the case? If the Existing Ombudsman Case Checkbox is marked, does the Research Task contain the OCTS Case Number and Status?  Did the case worker verify if the ECS case is relevant to the OCTS case?)   (1 point total)  (If there is no existing Ombudsman case then the 1 point is automatically awarded). </t>
  </si>
  <si>
    <t>K1.  Existing Ombudsman Case</t>
  </si>
  <si>
    <t>K2.  Description</t>
  </si>
  <si>
    <t>If applicable, was the description used to route the case to the appropriate entity. If the correct categories are selected based on the customers description, the appropriate entity will be automatically selected.  If the incorrect categories selected route the case to the appropriate entity, full credit will be given to the representative.  If incorrect categories route the case to the wrong entity, full deduction of points possible will be applied to this category. (2 points total)</t>
  </si>
  <si>
    <t>K3.  Desired outcome</t>
  </si>
  <si>
    <t>Did the case worker review the desired outcome to determine the customer’s expectations (when applicable)?  (Ex. In the description the customer will describe their issue, in the desired outcome they will see how the customer would like for their issue to be resolved.) (2 points total)</t>
  </si>
  <si>
    <t>Key Data Fields</t>
  </si>
  <si>
    <t>Categorization</t>
  </si>
  <si>
    <t>C1.  Issue type</t>
  </si>
  <si>
    <t>C2.  Issue subtype</t>
  </si>
  <si>
    <t>C3.  Lifecycle phase</t>
  </si>
  <si>
    <t xml:space="preserve">C4.  Complaint category      </t>
  </si>
  <si>
    <t>C5.  Complaint sub-category</t>
  </si>
  <si>
    <t>Selected the appropriate complaint subcategory. (1 pont total)</t>
  </si>
  <si>
    <t>Selected the appropriate complaint category. (1 pont total)</t>
  </si>
  <si>
    <t>Understands the situation and selects the appropriate lifecycle phase. (1 pont total)</t>
  </si>
  <si>
    <t>Selected the appropriate issue subtype. (1 pont total)</t>
  </si>
  <si>
    <t>Selected the appropriate issue type. (1 pont total)</t>
  </si>
  <si>
    <t>ECS Quality Control</t>
  </si>
  <si>
    <t>Documentation/Case Work</t>
  </si>
  <si>
    <t xml:space="preserve">D1.  Appropriate Attachments </t>
  </si>
  <si>
    <t>Did the case worker provide the appropriate documents and attach them to the case? Correct privacy release template sent to the customer (3 points)</t>
  </si>
  <si>
    <t>Include any documents/correspondence sent to the customer (3 points).</t>
  </si>
  <si>
    <t>D2.  Adding appropriate details to the case</t>
  </si>
  <si>
    <t xml:space="preserve">External Tasks (5 points)
External tasks are appropriately detailed. These tasks include:
c) case reassignment tasks (servicers,  PCAs, DMCS)
d) any outreach to customer related tasks (ex. Call log, emails/letters sent to customer). </t>
  </si>
  <si>
    <t xml:space="preserve">Internal Tasks (5 points) 
Internal tasks are appropriately detailed. These tasks include:
a) recommended activities, 
b) research tasks </t>
  </si>
  <si>
    <t>D3.  Checkboxes</t>
  </si>
  <si>
    <t>Outreach To Customer (1 point)</t>
  </si>
  <si>
    <t>Private (1 point)</t>
  </si>
  <si>
    <t>Anonymous (1 point)</t>
  </si>
  <si>
    <t>Control Mail (1 point)</t>
  </si>
  <si>
    <t>D4.  Capture/verify contact identification</t>
  </si>
  <si>
    <t>Name (1 point)</t>
  </si>
  <si>
    <t>SSN (1point)</t>
  </si>
  <si>
    <t>Date of Birth (1 point)</t>
  </si>
  <si>
    <t>Physical Address (1 point)</t>
  </si>
  <si>
    <t>Email Address (1 point)</t>
  </si>
  <si>
    <t>Military Information (1 point)</t>
  </si>
  <si>
    <t>Phone Number (1 point)</t>
  </si>
  <si>
    <t>This includes adding a contact/account/3rd party contact to the case (If applicable) (1 point)</t>
  </si>
  <si>
    <t>Communication</t>
  </si>
  <si>
    <t>Co1.  Self-Service</t>
  </si>
  <si>
    <t>Co2.  Etiquette/Use of terminology</t>
  </si>
  <si>
    <t>Did the case worker use appropriate system &amp; process terminology, avoiding internal jargon and processes? (Avoid using jargon/slang.) (4 points)</t>
  </si>
  <si>
    <t>Does the communication display courtesy, politeness, and empathy. (Tone of voice when responding to customer) (4 points).</t>
  </si>
  <si>
    <t>Refrain from corresponding in short hand style. (Ex. Do not use shortened abbreviations because the customer may not understand them) (2 points).</t>
  </si>
  <si>
    <t>Avoid referring to other internal entities such as Ombudsman, Program Compliance, or Servicer Liaison. (Ex. Customer may not understand organizational structure) (2 points).</t>
  </si>
  <si>
    <t xml:space="preserve">Proofread correspondence for spelling, punctuation and grammatical errors (Ex. Was appropriate grammar used?). (5 points) </t>
  </si>
  <si>
    <t>Co3.  Responsiveness</t>
  </si>
  <si>
    <t>Reached out to the customer within the designated 15 day timeframe.  (Allowances should be made for cases where they were assigned after the first 15 days) (5 points).</t>
  </si>
  <si>
    <t>Provided frequent updates to the customer in regards to the status and progress of their case every 15 days. (Note: For cases under 60 days old the 15 day status update should not apply because these cases are still being worked in a normal progression) (5 points).</t>
  </si>
  <si>
    <t>Resolution</t>
  </si>
  <si>
    <t>R1.  Closing Details</t>
  </si>
  <si>
    <t>Was Closing Summary template used correctly? (Ex. Including issue, research, findings, next steps/options) (6 points). </t>
  </si>
  <si>
    <t>Appropriate Resolution Action selected. Mark Appropriately depending on case details ( Ex. Clarified Communication/Process for customer, Action Taken, Submission Logged) (1 point).  </t>
  </si>
  <si>
    <t>If the case needs to be referred make sure to select the correct Resolution Entity, if applicable. (Ex. If case was a third party debt relief did we mark Federal Trade Commission as the Resolution Entity?) (1 point).</t>
  </si>
  <si>
    <t>R2.  Appropriate Response</t>
  </si>
  <si>
    <t>Did the case worker provide the customer with the accurate information/response to address the customer's complaint? (Ex. Did the case worker provide the customer with an appropriate procedure to resolve the customer’s issue?) (Ex. Did the case worker provide accurate information regarding the customer’s account status?) (4 points).</t>
  </si>
  <si>
    <t>Did case worker provide applicable guidance to the customer in regards to their next steps in the process? (Ex. Did you provide the customer with appropriate options moving forward given the details of their case?) (Ex. Rehabbing a loan, check with credit bureaus, considering consolidations, consider income-based repayment plans.) (4 points).</t>
  </si>
  <si>
    <t>R3.  Referred/escalated to appropriate business unit</t>
  </si>
  <si>
    <t>30 Points Total</t>
  </si>
  <si>
    <t>(6 points total)</t>
  </si>
  <si>
    <t>Did the case worker log all activities completely and accurately? This includes completing all summary fields with appropriate and detailed information. (Ex: Did the case worker add appropriate related tasks to the case?)  Did not create necessary tasks, if applicable.  Tasks include (10 points total):</t>
  </si>
  <si>
    <t>Did not mark or unmark one of the associated checkboxes/ drop down items within the case, if applicable.  (Ex. If the case is private then make sure the private box is checked. If the case is not private then the box should not be checked) (Ex. If a customer no longer wishes to be anonymous after outreach then the anonymous box should be unchecked) (4 points total)</t>
  </si>
  <si>
    <t>Did the case worker capture and/or update, when necessary, the proper contact information as required including (8 points total):</t>
  </si>
  <si>
    <t>Did the case worker provide self-service features for the customer, if applicable? (Ex. Websites or phone numbers that would help answer any questions.) Not accurately capturing any part of the contact information will result in a full deduction in this category.  This is a high priority category that can result in a negative experience for the customer. (5 points total)</t>
  </si>
  <si>
    <t>Does the communication with the customer display proper use of language (grammar/professionalism)? (17 points total)</t>
  </si>
  <si>
    <t>(10 points total)</t>
  </si>
  <si>
    <t>(16 points total)</t>
  </si>
  <si>
    <t>(12 points total)</t>
  </si>
  <si>
    <t>Did the case worker determine an applicable entity to resolve the issue? (Ex: Was the customer referred, or the case escalated, to an appropriate entity to resolve their case?) (Ex. If case owner was not able to resolve the issue, was the case referred or escalated to the appropriate entity that can potentially resolve it?) (2 points total)</t>
  </si>
  <si>
    <t>32 Points Total</t>
  </si>
  <si>
    <t>28 Points Total</t>
  </si>
  <si>
    <t>5 Points Total</t>
  </si>
  <si>
    <t>Provided specific information in the closing summary as to why the case was closed and a summary of the customer's complaint. (Ex: Are the actions which led to the closure of a case detailed in the closing summary?)  (8 points).</t>
  </si>
  <si>
    <t>Provided a sufficient enough response to answer/address all of the issues that the customer raised in the complaint. (Ex. Were call logs/dates included?) (Was all of the customer’s pertinent account history included?) (4 points).</t>
  </si>
  <si>
    <t>Total Points</t>
  </si>
  <si>
    <t>Total Deductions:</t>
  </si>
  <si>
    <t>/ 100 Total Points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</si>
</sst>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
  </numFmts>
  <fonts count="10" x14ac:knownFonts="1">
    <font>
      <sz val="11"/>
      <color theme="1"/>
      <name val="Calibri"/>
      <family val="2"/>
      <scheme val="minor"/>
    </font>
    <font>
      <b/>
      <sz val="20"/>
      <color theme="1"/>
      <name val="Calibri"/>
      <family val="2"/>
      <scheme val="minor"/>
    </font>
    <font>
      <sz val="11"/>
      <color rgb="FF000000"/>
      <name val="Calibri"/>
      <family val="2"/>
    </font>
    <font>
      <u/>
      <sz val="11"/>
      <color theme="10"/>
      <name val="Calibri"/>
      <family val="2"/>
      <scheme val="minor"/>
    </font>
    <font>
      <sz val="12"/>
      <color theme="1"/>
      <name val="Calibri"/>
      <family val="2"/>
      <scheme val="minor"/>
    </font>
    <font>
      <b/>
      <sz val="12"/>
      <color rgb="FFFF0000"/>
      <name val="Calibri"/>
      <family val="2"/>
      <scheme val="minor"/>
    </font>
    <font>
      <b/>
      <sz val="14"/>
      <color theme="1"/>
      <name val="Calibri"/>
      <family val="2"/>
      <scheme val="minor"/>
    </font>
    <font>
      <sz val="12"/>
      <name val="Calibri"/>
      <family val="2"/>
      <scheme val="minor"/>
    </font>
    <font>
      <sz val="12"/>
      <color rgb="FF000000"/>
      <name val="Calibri"/>
      <family val="2"/>
      <scheme val="minor"/>
    </font>
    <font>
      <b/>
      <sz val="14"/>
      <name val="Calibri"/>
      <family val="2"/>
      <scheme val="minor"/>
    </font>
  </fonts>
  <fills count="6">
    <fill>
      <patternFill patternType="none"/>
    </fill>
    <fill>
      <patternFill patternType="gray125"/>
    </fill>
    <fill>
      <patternFill patternType="solid">
        <fgColor theme="8" tint="0.59999389629810485"/>
        <bgColor indexed="64"/>
      </patternFill>
    </fill>
    <fill>
      <patternFill patternType="solid">
        <fgColor rgb="FFC8E6EE"/>
        <bgColor indexed="64"/>
      </patternFill>
    </fill>
    <fill>
      <patternFill patternType="solid">
        <fgColor theme="0" tint="-4.9989318521683403E-2"/>
        <bgColor indexed="64"/>
      </patternFill>
    </fill>
    <fill>
      <patternFill patternType="solid">
        <fgColor theme="0" tint="-0.249977111117893"/>
        <bgColor indexed="64"/>
      </patternFill>
    </fill>
  </fills>
  <borders count="2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s>
  <cellStyleXfs count="3">
    <xf numFmtId="0" fontId="0" fillId="0" borderId="0"/>
    <xf numFmtId="0" fontId="2" fillId="0" borderId="0"/>
    <xf numFmtId="0" fontId="3" fillId="0" borderId="0" applyNumberFormat="0" applyFill="0" applyBorder="0" applyAlignment="0" applyProtection="0"/>
  </cellStyleXfs>
  <cellXfs count="66">
    <xf numFmtId="0" fontId="0" fillId="0" borderId="0" xfId="0"/>
    <xf numFmtId="0" fontId="0" fillId="0" borderId="0" xfId="0" applyBorder="1"/>
    <xf numFmtId="2" fontId="0" fillId="0" borderId="0" xfId="0" applyNumberFormat="1"/>
    <xf numFmtId="0" fontId="0" fillId="0" borderId="0" xfId="0" applyFont="1" applyFill="1" applyBorder="1"/>
    <xf numFmtId="164" fontId="0" fillId="0" borderId="0" xfId="0" applyNumberFormat="1" applyBorder="1"/>
    <xf numFmtId="1" fontId="0" fillId="0" borderId="0" xfId="0" applyNumberFormat="1" applyBorder="1"/>
    <xf numFmtId="0" fontId="4" fillId="0" borderId="4" xfId="0" applyFont="1" applyFill="1" applyBorder="1" applyAlignment="1">
      <alignment wrapText="1"/>
    </xf>
    <xf numFmtId="14" fontId="4" fillId="0" borderId="4" xfId="0" applyNumberFormat="1" applyFont="1" applyFill="1" applyBorder="1" applyAlignment="1">
      <alignment wrapText="1"/>
    </xf>
    <xf numFmtId="49" fontId="4" fillId="0" borderId="4" xfId="0" applyNumberFormat="1" applyFont="1" applyFill="1" applyBorder="1" applyAlignment="1" applyProtection="1">
      <alignment wrapText="1"/>
      <protection locked="0"/>
    </xf>
    <xf numFmtId="0" fontId="4" fillId="0" borderId="4" xfId="0" applyFont="1" applyFill="1" applyBorder="1" applyAlignment="1" applyProtection="1">
      <alignment wrapText="1"/>
      <protection locked="0"/>
    </xf>
    <xf numFmtId="14" fontId="4" fillId="0" borderId="4" xfId="0" applyNumberFormat="1" applyFont="1" applyFill="1" applyBorder="1" applyAlignment="1" applyProtection="1">
      <alignment wrapText="1"/>
      <protection locked="0"/>
    </xf>
    <xf numFmtId="1" fontId="4" fillId="0" borderId="4" xfId="0" applyNumberFormat="1" applyFont="1" applyFill="1" applyBorder="1" applyAlignment="1" applyProtection="1">
      <alignment wrapText="1"/>
      <protection locked="0"/>
    </xf>
    <xf numFmtId="49" fontId="4" fillId="0" borderId="4" xfId="0" applyNumberFormat="1" applyFont="1" applyFill="1" applyBorder="1" applyAlignment="1" applyProtection="1">
      <alignment vertical="center" wrapText="1"/>
      <protection locked="0"/>
    </xf>
    <xf numFmtId="1" fontId="4" fillId="0" borderId="4" xfId="0" applyNumberFormat="1" applyFont="1" applyFill="1" applyBorder="1" applyAlignment="1" applyProtection="1">
      <alignment vertical="center" wrapText="1"/>
      <protection locked="0"/>
    </xf>
    <xf numFmtId="0" fontId="4" fillId="0" borderId="7" xfId="0" applyFont="1" applyFill="1" applyBorder="1" applyAlignment="1">
      <alignment wrapText="1"/>
    </xf>
    <xf numFmtId="0" fontId="4" fillId="0" borderId="13" xfId="0" applyFont="1" applyFill="1" applyBorder="1" applyAlignment="1">
      <alignment wrapText="1"/>
    </xf>
    <xf numFmtId="14" fontId="4" fillId="0" borderId="7" xfId="0" applyNumberFormat="1" applyFont="1" applyFill="1" applyBorder="1" applyAlignment="1">
      <alignment wrapText="1"/>
    </xf>
    <xf numFmtId="49" fontId="4" fillId="0" borderId="13" xfId="0" applyNumberFormat="1" applyFont="1" applyFill="1" applyBorder="1" applyAlignment="1" applyProtection="1">
      <alignment wrapText="1"/>
      <protection locked="0"/>
    </xf>
    <xf numFmtId="14" fontId="4" fillId="0" borderId="7" xfId="0" applyNumberFormat="1" applyFont="1" applyFill="1" applyBorder="1" applyAlignment="1" applyProtection="1">
      <alignment wrapText="1"/>
      <protection locked="0"/>
    </xf>
    <xf numFmtId="1" fontId="4" fillId="0" borderId="13" xfId="0" applyNumberFormat="1" applyFont="1" applyFill="1" applyBorder="1" applyAlignment="1">
      <alignment wrapText="1"/>
    </xf>
    <xf numFmtId="1" fontId="4" fillId="0" borderId="7" xfId="0" applyNumberFormat="1" applyFont="1" applyFill="1" applyBorder="1" applyAlignment="1" applyProtection="1">
      <alignment wrapText="1"/>
      <protection locked="0"/>
    </xf>
    <xf numFmtId="0" fontId="4" fillId="0" borderId="13" xfId="0" applyFont="1" applyFill="1" applyBorder="1" applyAlignment="1" applyProtection="1">
      <alignment wrapText="1"/>
      <protection locked="0"/>
    </xf>
    <xf numFmtId="49" fontId="4" fillId="0" borderId="7" xfId="0" applyNumberFormat="1" applyFont="1" applyFill="1" applyBorder="1" applyAlignment="1" applyProtection="1">
      <alignment wrapText="1"/>
      <protection locked="0"/>
    </xf>
    <xf numFmtId="0" fontId="4" fillId="0" borderId="16" xfId="0" applyFont="1" applyBorder="1" applyAlignment="1">
      <alignment horizontal="left" vertical="center" wrapText="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7" fillId="0" borderId="7" xfId="2" applyFont="1" applyFill="1" applyBorder="1" applyAlignment="1">
      <alignment wrapText="1"/>
    </xf>
    <xf numFmtId="0" fontId="8" fillId="0" borderId="14" xfId="0" applyFont="1" applyBorder="1" applyAlignment="1">
      <alignment wrapText="1"/>
    </xf>
    <xf numFmtId="0" fontId="8" fillId="0" borderId="7" xfId="0" applyFont="1" applyBorder="1" applyAlignment="1">
      <alignment vertical="center" wrapText="1"/>
    </xf>
    <xf numFmtId="0" fontId="4" fillId="0" borderId="15" xfId="0" applyFont="1" applyBorder="1" applyAlignment="1">
      <alignment vertical="center" wrapText="1"/>
    </xf>
    <xf numFmtId="0" fontId="6" fillId="3" borderId="8" xfId="0" applyFont="1" applyFill="1" applyBorder="1" applyAlignment="1">
      <alignment vertical="center" wrapText="1"/>
    </xf>
    <xf numFmtId="0" fontId="4" fillId="0" borderId="20" xfId="0" applyFont="1" applyBorder="1" applyAlignment="1">
      <alignment horizontal="left" vertical="center" wrapText="1"/>
    </xf>
    <xf numFmtId="0" fontId="6" fillId="3" borderId="12" xfId="0" applyFont="1" applyFill="1" applyBorder="1" applyAlignment="1">
      <alignment vertical="center" wrapText="1"/>
    </xf>
    <xf numFmtId="0" fontId="6" fillId="3" borderId="12" xfId="0" applyFont="1" applyFill="1" applyBorder="1" applyAlignment="1">
      <alignment vertical="center"/>
    </xf>
    <xf numFmtId="0" fontId="7" fillId="0" borderId="13" xfId="0" applyFont="1" applyFill="1" applyBorder="1" applyAlignment="1">
      <alignment wrapText="1"/>
    </xf>
    <xf numFmtId="0" fontId="7" fillId="0" borderId="4" xfId="0" applyFont="1" applyFill="1" applyBorder="1" applyAlignment="1">
      <alignment wrapText="1"/>
    </xf>
    <xf numFmtId="14" fontId="4" fillId="5" borderId="7" xfId="0" applyNumberFormat="1" applyFont="1" applyFill="1" applyBorder="1" applyAlignment="1">
      <alignment wrapText="1"/>
    </xf>
    <xf numFmtId="0" fontId="5" fillId="5" borderId="4" xfId="0" applyFont="1" applyFill="1" applyBorder="1" applyAlignment="1">
      <alignment wrapText="1"/>
    </xf>
    <xf numFmtId="0" fontId="4" fillId="5" borderId="4" xfId="0" applyFont="1" applyFill="1" applyBorder="1" applyAlignment="1">
      <alignment wrapText="1"/>
    </xf>
    <xf numFmtId="0" fontId="4" fillId="5" borderId="7" xfId="0" applyFont="1" applyFill="1" applyBorder="1" applyAlignment="1">
      <alignment wrapText="1"/>
    </xf>
    <xf numFmtId="14" fontId="4" fillId="5" borderId="4" xfId="0" applyNumberFormat="1" applyFont="1" applyFill="1" applyBorder="1" applyAlignment="1">
      <alignment wrapText="1"/>
    </xf>
    <xf numFmtId="14" fontId="7" fillId="0" borderId="4" xfId="0" applyNumberFormat="1" applyFont="1" applyFill="1" applyBorder="1" applyAlignment="1">
      <alignment wrapText="1"/>
    </xf>
    <xf numFmtId="0" fontId="6" fillId="3" borderId="12" xfId="0" applyFont="1" applyFill="1" applyBorder="1"/>
    <xf numFmtId="0" fontId="4" fillId="4" borderId="19" xfId="0" applyFont="1" applyFill="1" applyBorder="1"/>
    <xf numFmtId="0" fontId="4" fillId="4" borderId="17" xfId="0" applyFont="1" applyFill="1" applyBorder="1"/>
    <xf numFmtId="0" fontId="4" fillId="4" borderId="18" xfId="0" applyFont="1" applyFill="1" applyBorder="1"/>
    <xf numFmtId="0" fontId="4" fillId="3" borderId="12" xfId="0" applyFont="1" applyFill="1" applyBorder="1"/>
    <xf numFmtId="0" fontId="4" fillId="0" borderId="0" xfId="0" applyFont="1"/>
    <xf numFmtId="1" fontId="4" fillId="0" borderId="13" xfId="0" applyNumberFormat="1" applyFont="1" applyFill="1" applyBorder="1" applyAlignment="1" applyProtection="1">
      <alignment wrapText="1"/>
      <protection locked="0"/>
    </xf>
    <xf numFmtId="14" fontId="4" fillId="0" borderId="13" xfId="0" applyNumberFormat="1" applyFont="1" applyFill="1" applyBorder="1" applyAlignment="1">
      <alignment wrapText="1"/>
    </xf>
    <xf numFmtId="0" fontId="9" fillId="3" borderId="8" xfId="0" applyFont="1" applyFill="1" applyBorder="1" applyAlignment="1">
      <alignment horizontal="right" vertical="center" wrapText="1"/>
    </xf>
    <xf numFmtId="0" fontId="6" fillId="3" borderId="6" xfId="0" applyFont="1" applyFill="1" applyBorder="1" applyAlignment="1">
      <alignment vertical="center"/>
    </xf>
    <xf numFmtId="0" fontId="6" fillId="3" borderId="8" xfId="0" applyFont="1" applyFill="1" applyBorder="1" applyAlignment="1">
      <alignment horizontal="right" vertical="center" wrapText="1"/>
    </xf>
    <xf numFmtId="0" fontId="6" fillId="3" borderId="6" xfId="0" applyFont="1" applyFill="1" applyBorder="1" applyAlignment="1">
      <alignment horizontal="right" vertical="center" wrapText="1"/>
    </xf>
    <xf numFmtId="0" fontId="1" fillId="3" borderId="1" xfId="0" applyFont="1" applyFill="1" applyBorder="1" applyAlignment="1">
      <alignment horizontal="center"/>
    </xf>
    <xf numFmtId="0" fontId="1" fillId="3" borderId="3" xfId="0" applyFont="1" applyFill="1" applyBorder="1" applyAlignment="1">
      <alignment horizontal="center"/>
    </xf>
    <xf numFmtId="0" fontId="1" fillId="3" borderId="2" xfId="0" applyFont="1" applyFill="1" applyBorder="1" applyAlignment="1">
      <alignment horizontal="center"/>
    </xf>
    <xf numFmtId="0" fontId="1" fillId="3" borderId="9" xfId="0" applyFont="1" applyFill="1" applyBorder="1" applyAlignment="1">
      <alignment horizont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6" fillId="3" borderId="8" xfId="0" applyFont="1" applyFill="1" applyBorder="1" applyAlignment="1">
      <alignment horizontal="left" vertical="center"/>
    </xf>
    <xf numFmtId="0" fontId="6" fillId="3" borderId="5" xfId="0" applyFont="1" applyFill="1" applyBorder="1" applyAlignment="1">
      <alignment horizontal="left" vertical="center"/>
    </xf>
    <xf numFmtId="0" fontId="6" fillId="2" borderId="8" xfId="0" applyFont="1" applyFill="1" applyBorder="1" applyAlignment="1">
      <alignment horizontal="left" vertical="center" wrapText="1"/>
    </xf>
    <xf numFmtId="0" fontId="6" fillId="2" borderId="6" xfId="0" applyFont="1" applyFill="1" applyBorder="1" applyAlignment="1">
      <alignment horizontal="left" vertical="center" wrapText="1"/>
    </xf>
    <xf numFmtId="0" fontId="6" fillId="3" borderId="8" xfId="0" applyFont="1" applyFill="1" applyBorder="1" applyAlignment="1">
      <alignment horizontal="left" vertical="center" wrapText="1"/>
    </xf>
    <xf numFmtId="0" fontId="6" fillId="3" borderId="6" xfId="0" applyFont="1" applyFill="1" applyBorder="1" applyAlignment="1">
      <alignment horizontal="left" vertical="center" wrapText="1"/>
    </xf>
  </cellXfs>
  <cellStyles count="3">
    <cellStyle name="Hyperlink" xfId="2" builtinId="8"/>
    <cellStyle name="Normal" xfId="0" builtinId="0"/>
    <cellStyle name="Normal 2" xfId="1"/>
  </cellStyles>
  <dxfs count="0"/>
  <tableStyles count="0" defaultTableStyle="TableStyleMedium2" defaultPivotStyle="PivotStyleLight16"/>
  <colors>
    <mruColors>
      <color rgb="FFC8E6EE"/>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F60"/>
  <sheetViews>
    <sheetView tabSelected="1" zoomScale="90" zoomScaleNormal="90" workbookViewId="0">
      <selection activeCell="D6" sqref="D6"/>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B1:F60"/>
  <sheetViews>
    <sheetView zoomScale="90" zoomScaleNormal="90" workbookViewId="0">
      <selection activeCell="E4" sqref="E4"/>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21:E24 E43:E44 E18:E19 E4:E6 E35 E33 E50">
      <formula1>$B$1:$B$3</formula1>
    </dataValidation>
    <dataValidation type="list" allowBlank="1" showInputMessage="1" showErrorMessage="1" sqref="E8:E12 E43:E44 E37:E41 E26:E32 E15:E16 E47:E49 E52:E55">
      <formula1>$B$1:$B$2</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50"/>
  </sheetPr>
  <dimension ref="B1:F60"/>
  <sheetViews>
    <sheetView zoomScale="90" zoomScaleNormal="90" workbookViewId="0">
      <selection activeCell="E4" sqref="E4"/>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B1:F60"/>
  <sheetViews>
    <sheetView zoomScale="90" zoomScaleNormal="90" workbookViewId="0">
      <selection activeCell="K17" sqref="K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B1:F60"/>
  <sheetViews>
    <sheetView zoomScale="90" zoomScaleNormal="90" workbookViewId="0">
      <selection activeCell="K17" sqref="K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B1:F60"/>
  <sheetViews>
    <sheetView zoomScale="90" zoomScaleNormal="90" workbookViewId="0">
      <selection activeCell="K17" sqref="K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B050"/>
  </sheetPr>
  <dimension ref="B1:F60"/>
  <sheetViews>
    <sheetView zoomScale="90" zoomScaleNormal="90" workbookViewId="0">
      <selection activeCell="K17" sqref="K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B050"/>
  </sheetPr>
  <dimension ref="B1:F60"/>
  <sheetViews>
    <sheetView topLeftCell="A37" zoomScale="90" zoomScaleNormal="90" workbookViewId="0">
      <selection activeCell="R7" sqref="R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00B050"/>
  </sheetPr>
  <dimension ref="B1:F60"/>
  <sheetViews>
    <sheetView zoomScale="90" zoomScaleNormal="90" workbookViewId="0">
      <selection activeCell="H17" sqref="H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21:E24 E43:E44 E18:E19 E4:E6 E35 E33 E50">
      <formula1>$B$1:$B$3</formula1>
    </dataValidation>
    <dataValidation type="list" allowBlank="1" showInputMessage="1" showErrorMessage="1" sqref="E8:E12 E43:E44 E37:E41 E26:E32 E15:E16 E47:E49 E52:E55">
      <formula1>$B$1:$B$2</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00B050"/>
  </sheetPr>
  <dimension ref="B1:F60"/>
  <sheetViews>
    <sheetView topLeftCell="A3" zoomScale="90" zoomScaleNormal="90" workbookViewId="0">
      <selection activeCell="O18" sqref="O18"/>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00B050"/>
  </sheetPr>
  <dimension ref="B1:F60"/>
  <sheetViews>
    <sheetView topLeftCell="A3" zoomScale="90" zoomScaleNormal="90" workbookViewId="0">
      <selection activeCell="A18" sqref="A18"/>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56:D56"/>
    <mergeCell ref="C57:D57"/>
    <mergeCell ref="C1:F2"/>
    <mergeCell ref="C3:D3"/>
    <mergeCell ref="C7:D7"/>
    <mergeCell ref="C13:D13"/>
    <mergeCell ref="C34:D34"/>
    <mergeCell ref="C45:D45"/>
  </mergeCells>
  <dataValidations count="2">
    <dataValidation type="list" allowBlank="1" showInputMessage="1" showErrorMessage="1" sqref="E8:E12 E43:E44 E37:E41 E26:E32 E15:E16 E47:E49 E52:E55">
      <formula1>$B$1:$B$2</formula1>
    </dataValidation>
    <dataValidation type="list" allowBlank="1" showInputMessage="1" showErrorMessage="1" sqref="E21:E24 E43:E44 E18:E19 E4:E6 E35 E33 E50">
      <formula1>$B$1:$B$3</formula1>
    </dataValidation>
  </dataValidation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B1:F60"/>
  <sheetViews>
    <sheetView zoomScale="90" zoomScaleNormal="90" workbookViewId="0">
      <selection activeCell="O17" sqref="O17"/>
    </sheetView>
  </sheetViews>
  <sheetFormatPr defaultRowHeight="15.75" x14ac:dyDescent="0.25"/>
  <cols>
    <col min="1" max="1" width="0.42578125" customWidth="1"/>
    <col min="2" max="2" width="19" hidden="1" customWidth="1"/>
    <col min="3" max="3" width="22.140625" customWidth="1"/>
    <col min="4" max="4" width="97" customWidth="1"/>
    <col min="5" max="5" width="21.28515625" customWidth="1"/>
    <col min="6" max="6" width="24.5703125" style="47" customWidth="1"/>
  </cols>
  <sheetData>
    <row r="1" spans="2:6" ht="15" customHeight="1" x14ac:dyDescent="0.25">
      <c r="B1" t="s">
        <v>0</v>
      </c>
      <c r="C1" s="54" t="s">
        <v>21</v>
      </c>
      <c r="D1" s="55"/>
      <c r="E1" s="55"/>
      <c r="F1" s="56"/>
    </row>
    <row r="2" spans="2:6" ht="15.75" customHeight="1" thickBot="1" x14ac:dyDescent="0.3">
      <c r="B2" t="s">
        <v>1</v>
      </c>
      <c r="C2" s="57"/>
      <c r="D2" s="58"/>
      <c r="E2" s="58"/>
      <c r="F2" s="59"/>
    </row>
    <row r="3" spans="2:6" ht="29.25" customHeight="1" thickBot="1" x14ac:dyDescent="0.35">
      <c r="B3" t="s">
        <v>2</v>
      </c>
      <c r="C3" s="60" t="s">
        <v>9</v>
      </c>
      <c r="D3" s="61"/>
      <c r="E3" s="33" t="s">
        <v>76</v>
      </c>
      <c r="F3" s="42">
        <f>SUM(F4:F6)</f>
        <v>0</v>
      </c>
    </row>
    <row r="4" spans="2:6" ht="104.25" customHeight="1" x14ac:dyDescent="0.25">
      <c r="C4" s="27" t="s">
        <v>4</v>
      </c>
      <c r="D4" s="28" t="s">
        <v>3</v>
      </c>
      <c r="E4" s="26"/>
      <c r="F4" s="43" t="str">
        <f>IF(E4="","",IF(E4="No",0, IF(E4="Yes", 1, IF(E4="N/A",1,))))</f>
        <v/>
      </c>
    </row>
    <row r="5" spans="2:6" ht="81.75" customHeight="1" x14ac:dyDescent="0.25">
      <c r="B5" s="2"/>
      <c r="C5" s="29" t="s">
        <v>5</v>
      </c>
      <c r="D5" s="7" t="s">
        <v>6</v>
      </c>
      <c r="E5" s="6"/>
      <c r="F5" s="44" t="str">
        <f>IF(E5="","",IF(E5="No",0, IF(E5="Yes", 2, IF(E5="N/A",2,))))</f>
        <v/>
      </c>
    </row>
    <row r="6" spans="2:6" ht="54.75" customHeight="1" thickBot="1" x14ac:dyDescent="0.3">
      <c r="C6" s="23" t="s">
        <v>7</v>
      </c>
      <c r="D6" s="17" t="s">
        <v>8</v>
      </c>
      <c r="E6" s="34"/>
      <c r="F6" s="45" t="str">
        <f>IF(E6="","",IF(E6="No",0, IF(E6="Yes", 2, IF(E6="N/A",2,))))</f>
        <v/>
      </c>
    </row>
    <row r="7" spans="2:6" ht="35.25" customHeight="1" thickBot="1" x14ac:dyDescent="0.35">
      <c r="C7" s="62" t="s">
        <v>10</v>
      </c>
      <c r="D7" s="63"/>
      <c r="E7" s="32" t="s">
        <v>76</v>
      </c>
      <c r="F7" s="42">
        <f>SUM(F8:F12)</f>
        <v>0</v>
      </c>
    </row>
    <row r="8" spans="2:6" ht="26.25" customHeight="1" x14ac:dyDescent="0.25">
      <c r="C8" s="24" t="s">
        <v>11</v>
      </c>
      <c r="D8" s="18" t="s">
        <v>20</v>
      </c>
      <c r="E8" s="14"/>
      <c r="F8" s="43" t="str">
        <f>IF(E8="","",IF(E8="No",0, IF(E8="Yes", 1, IF(E8="N/A",1,))))</f>
        <v/>
      </c>
    </row>
    <row r="9" spans="2:6" x14ac:dyDescent="0.25">
      <c r="C9" s="25" t="s">
        <v>12</v>
      </c>
      <c r="D9" s="11" t="s">
        <v>19</v>
      </c>
      <c r="E9" s="6"/>
      <c r="F9" s="44" t="str">
        <f>IF(E9="","",IF(E9="No",0, IF(E9="Yes", 1, IF(E9="N/A",1,))))</f>
        <v/>
      </c>
    </row>
    <row r="10" spans="2:6" ht="15.75" customHeight="1" x14ac:dyDescent="0.25">
      <c r="C10" s="25" t="s">
        <v>13</v>
      </c>
      <c r="D10" s="10" t="s">
        <v>18</v>
      </c>
      <c r="E10" s="35"/>
      <c r="F10" s="44" t="str">
        <f>IF(E10="","",IF(E10="No",0, IF(E10="Yes", 1, IF(E10="N/A",1,))))</f>
        <v/>
      </c>
    </row>
    <row r="11" spans="2:6" ht="31.5" x14ac:dyDescent="0.25">
      <c r="C11" s="25" t="s">
        <v>14</v>
      </c>
      <c r="D11" s="9" t="s">
        <v>17</v>
      </c>
      <c r="E11" s="35"/>
      <c r="F11" s="44" t="str">
        <f>IF(E11="","",IF(E11="No",0, IF(E11="Yes", 1, IF(E11="N/A",1,))))</f>
        <v/>
      </c>
    </row>
    <row r="12" spans="2:6" ht="32.25" thickBot="1" x14ac:dyDescent="0.3">
      <c r="C12" s="23" t="s">
        <v>15</v>
      </c>
      <c r="D12" s="19" t="s">
        <v>16</v>
      </c>
      <c r="E12" s="15"/>
      <c r="F12" s="45" t="str">
        <f>IF(E12="","",IF(E12="No",0, IF(E12="Yes", 1, IF(E12="N/A",1,))))</f>
        <v/>
      </c>
    </row>
    <row r="13" spans="2:6" ht="46.5" customHeight="1" thickBot="1" x14ac:dyDescent="0.35">
      <c r="C13" s="64" t="s">
        <v>22</v>
      </c>
      <c r="D13" s="65"/>
      <c r="E13" s="32" t="s">
        <v>75</v>
      </c>
      <c r="F13" s="42">
        <f>SUM(F14,F17,F20,F25)</f>
        <v>0</v>
      </c>
    </row>
    <row r="14" spans="2:6" ht="38.25" customHeight="1" x14ac:dyDescent="0.25">
      <c r="C14" s="31" t="s">
        <v>23</v>
      </c>
      <c r="D14" s="20" t="s">
        <v>64</v>
      </c>
      <c r="E14" s="36"/>
      <c r="F14" s="43">
        <f>SUM(F15:F16)</f>
        <v>0</v>
      </c>
    </row>
    <row r="15" spans="2:6" ht="38.25" customHeight="1" x14ac:dyDescent="0.25">
      <c r="C15" s="24"/>
      <c r="D15" s="20" t="s">
        <v>24</v>
      </c>
      <c r="E15" s="16"/>
      <c r="F15" s="43" t="str">
        <f>IF(E15="","",IF(E15="No",0, IF(E15="Yes", 3, IF(E15="N/A",3,))))</f>
        <v/>
      </c>
    </row>
    <row r="16" spans="2:6" ht="18.75" customHeight="1" x14ac:dyDescent="0.25">
      <c r="C16" s="25"/>
      <c r="D16" s="9" t="s">
        <v>25</v>
      </c>
      <c r="E16" s="35"/>
      <c r="F16" s="44" t="str">
        <f>IF(E16="","",IF(E16="No",0, IF(E16="Yes", 3, IF(E16="N/A",3,))))</f>
        <v/>
      </c>
    </row>
    <row r="17" spans="2:6" ht="63" x14ac:dyDescent="0.25">
      <c r="C17" s="25" t="s">
        <v>26</v>
      </c>
      <c r="D17" s="9" t="s">
        <v>65</v>
      </c>
      <c r="E17" s="37"/>
      <c r="F17" s="44">
        <f>SUM(F18:F19)</f>
        <v>0</v>
      </c>
    </row>
    <row r="18" spans="2:6" ht="71.25" customHeight="1" x14ac:dyDescent="0.25">
      <c r="C18" s="25"/>
      <c r="D18" s="12" t="s">
        <v>28</v>
      </c>
      <c r="E18" s="6"/>
      <c r="F18" s="44" t="str">
        <f>IF(E18="","",IF(E18="No",0, IF(E18="Yes", 5, IF(E18="N/A",5,))))</f>
        <v/>
      </c>
    </row>
    <row r="19" spans="2:6" ht="73.5" customHeight="1" x14ac:dyDescent="0.25">
      <c r="C19" s="25"/>
      <c r="D19" s="13" t="s">
        <v>27</v>
      </c>
      <c r="E19" s="7"/>
      <c r="F19" s="44" t="str">
        <f>IF(E19="","",IF(E19="No",0, IF(E19="Yes", 5, IF(E19="N/A",5,))))</f>
        <v/>
      </c>
    </row>
    <row r="20" spans="2:6" ht="63" x14ac:dyDescent="0.25">
      <c r="C20" s="25" t="s">
        <v>29</v>
      </c>
      <c r="D20" s="9" t="s">
        <v>66</v>
      </c>
      <c r="E20" s="37"/>
      <c r="F20" s="44">
        <f>SUM(F21:F24)</f>
        <v>0</v>
      </c>
    </row>
    <row r="21" spans="2:6" x14ac:dyDescent="0.25">
      <c r="C21" s="25"/>
      <c r="D21" s="9" t="s">
        <v>30</v>
      </c>
      <c r="E21" s="35"/>
      <c r="F21" s="44" t="str">
        <f>IF(E21="","",IF(E21="No",0, IF(E21="Yes",  1, IF(E21="N/A",1,))))</f>
        <v/>
      </c>
    </row>
    <row r="22" spans="2:6" x14ac:dyDescent="0.25">
      <c r="C22" s="25"/>
      <c r="D22" s="8" t="s">
        <v>31</v>
      </c>
      <c r="E22" s="35"/>
      <c r="F22" s="44" t="str">
        <f>IF(E22="","",IF(E22="No",0, IF(E22="Yes",  1, IF(E22="N/A",1,))))</f>
        <v/>
      </c>
    </row>
    <row r="23" spans="2:6" x14ac:dyDescent="0.25">
      <c r="C23" s="25"/>
      <c r="D23" s="11" t="s">
        <v>32</v>
      </c>
      <c r="E23" s="41"/>
      <c r="F23" s="44" t="str">
        <f>IF(E23="","",IF(E23="No",0, IF(E23="Yes",  1, IF(E23="N/A",1,))))</f>
        <v/>
      </c>
    </row>
    <row r="24" spans="2:6" x14ac:dyDescent="0.25">
      <c r="C24" s="25"/>
      <c r="D24" s="9" t="s">
        <v>33</v>
      </c>
      <c r="E24" s="35"/>
      <c r="F24" s="44" t="str">
        <f>IF(E24="","",IF(E24="No",0, IF(E24="Yes",  1, IF(E24="N/A",1,))))</f>
        <v/>
      </c>
    </row>
    <row r="25" spans="2:6" ht="31.5" x14ac:dyDescent="0.25">
      <c r="C25" s="25" t="s">
        <v>34</v>
      </c>
      <c r="D25" s="9" t="s">
        <v>67</v>
      </c>
      <c r="E25" s="37"/>
      <c r="F25" s="44">
        <f>SUM(F26:F33)</f>
        <v>0</v>
      </c>
    </row>
    <row r="26" spans="2:6" x14ac:dyDescent="0.25">
      <c r="C26" s="25"/>
      <c r="D26" s="8" t="s">
        <v>35</v>
      </c>
      <c r="E26" s="35"/>
      <c r="F26" s="44" t="str">
        <f t="shared" ref="F26:F33" si="0">IF(E26="","",IF(E26="No",0, IF(E26="Yes",  1, IF(E26="N/A",1,))))</f>
        <v/>
      </c>
    </row>
    <row r="27" spans="2:6" ht="15.75" customHeight="1" x14ac:dyDescent="0.25">
      <c r="B27" s="1"/>
      <c r="C27" s="25"/>
      <c r="D27" s="11" t="s">
        <v>36</v>
      </c>
      <c r="E27" s="41"/>
      <c r="F27" s="44" t="str">
        <f t="shared" si="0"/>
        <v/>
      </c>
    </row>
    <row r="28" spans="2:6" ht="23.25" customHeight="1" x14ac:dyDescent="0.25">
      <c r="C28" s="25"/>
      <c r="D28" s="9" t="s">
        <v>37</v>
      </c>
      <c r="E28" s="35"/>
      <c r="F28" s="44" t="str">
        <f t="shared" si="0"/>
        <v/>
      </c>
    </row>
    <row r="29" spans="2:6" x14ac:dyDescent="0.25">
      <c r="C29" s="25"/>
      <c r="D29" s="9" t="s">
        <v>38</v>
      </c>
      <c r="E29" s="35"/>
      <c r="F29" s="44" t="str">
        <f t="shared" si="0"/>
        <v/>
      </c>
    </row>
    <row r="30" spans="2:6" x14ac:dyDescent="0.25">
      <c r="C30" s="25"/>
      <c r="D30" s="8" t="s">
        <v>39</v>
      </c>
      <c r="E30" s="35"/>
      <c r="F30" s="44" t="str">
        <f t="shared" si="0"/>
        <v/>
      </c>
    </row>
    <row r="31" spans="2:6" x14ac:dyDescent="0.25">
      <c r="C31" s="25"/>
      <c r="D31" s="11" t="s">
        <v>40</v>
      </c>
      <c r="E31" s="41"/>
      <c r="F31" s="44" t="str">
        <f t="shared" si="0"/>
        <v/>
      </c>
    </row>
    <row r="32" spans="2:6" x14ac:dyDescent="0.25">
      <c r="C32" s="25"/>
      <c r="D32" s="9" t="s">
        <v>41</v>
      </c>
      <c r="E32" s="35"/>
      <c r="F32" s="44" t="str">
        <f t="shared" si="0"/>
        <v/>
      </c>
    </row>
    <row r="33" spans="3:6" ht="16.5" thickBot="1" x14ac:dyDescent="0.3">
      <c r="C33" s="23"/>
      <c r="D33" s="21" t="s">
        <v>42</v>
      </c>
      <c r="E33" s="34"/>
      <c r="F33" s="45" t="str">
        <f t="shared" si="0"/>
        <v/>
      </c>
    </row>
    <row r="34" spans="3:6" ht="33" customHeight="1" thickBot="1" x14ac:dyDescent="0.35">
      <c r="C34" s="64" t="s">
        <v>43</v>
      </c>
      <c r="D34" s="65"/>
      <c r="E34" s="30" t="s">
        <v>74</v>
      </c>
      <c r="F34" s="42">
        <f>SUM(F35,F36,F42)</f>
        <v>0</v>
      </c>
    </row>
    <row r="35" spans="3:6" ht="63" x14ac:dyDescent="0.25">
      <c r="C35" s="24" t="s">
        <v>44</v>
      </c>
      <c r="D35" s="20" t="s">
        <v>68</v>
      </c>
      <c r="E35" s="16"/>
      <c r="F35" s="43" t="str">
        <f>IF(E35="","",IF(E35="No",0, IF(E35="Yes",  5, IF(E35="N/A",5,))))</f>
        <v/>
      </c>
    </row>
    <row r="36" spans="3:6" ht="31.5" x14ac:dyDescent="0.25">
      <c r="C36" s="25" t="s">
        <v>45</v>
      </c>
      <c r="D36" s="9" t="s">
        <v>69</v>
      </c>
      <c r="E36" s="37"/>
      <c r="F36" s="44">
        <f>SUM(F37:F41)</f>
        <v>0</v>
      </c>
    </row>
    <row r="37" spans="3:6" ht="31.5" x14ac:dyDescent="0.25">
      <c r="C37" s="25"/>
      <c r="D37" s="9" t="s">
        <v>46</v>
      </c>
      <c r="E37" s="35"/>
      <c r="F37" s="44" t="str">
        <f>IF(E37="","",IF(E37="No",0, IF(E37="Yes",  4, IF(E37="N/A",4,))))</f>
        <v/>
      </c>
    </row>
    <row r="38" spans="3:6" ht="31.5" x14ac:dyDescent="0.25">
      <c r="C38" s="25"/>
      <c r="D38" s="8" t="s">
        <v>47</v>
      </c>
      <c r="E38" s="35"/>
      <c r="F38" s="44" t="str">
        <f>IF(E38="","",IF(E38="No",0, IF(E38="Yes", 4, IF(E38="N/A",4,))))</f>
        <v/>
      </c>
    </row>
    <row r="39" spans="3:6" ht="31.5" x14ac:dyDescent="0.25">
      <c r="C39" s="25"/>
      <c r="D39" s="11" t="s">
        <v>48</v>
      </c>
      <c r="E39" s="41"/>
      <c r="F39" s="44" t="str">
        <f>IF(E39="","",IF(E39="No",0, IF(E39="Yes",  2, IF(E39="N/A",2,))))</f>
        <v/>
      </c>
    </row>
    <row r="40" spans="3:6" ht="31.5" x14ac:dyDescent="0.25">
      <c r="C40" s="25"/>
      <c r="D40" s="9" t="s">
        <v>49</v>
      </c>
      <c r="E40" s="35"/>
      <c r="F40" s="44" t="str">
        <f>IF(E40="","",IF(E40="No",0, IF(E40="Yes",  2, IF(E40="N/A",2,))))</f>
        <v/>
      </c>
    </row>
    <row r="41" spans="3:6" ht="31.5" x14ac:dyDescent="0.25">
      <c r="C41" s="25"/>
      <c r="D41" s="8" t="s">
        <v>50</v>
      </c>
      <c r="E41" s="35"/>
      <c r="F41" s="44" t="str">
        <f>IF(E41="","",IF(E41="No",0, IF(E41="Yes", 5, IF(E41="N/A",5,))))</f>
        <v/>
      </c>
    </row>
    <row r="42" spans="3:6" x14ac:dyDescent="0.25">
      <c r="C42" s="25" t="s">
        <v>51</v>
      </c>
      <c r="D42" s="8" t="s">
        <v>70</v>
      </c>
      <c r="E42" s="38"/>
      <c r="F42" s="44">
        <f>SUM(F43:F44)</f>
        <v>0</v>
      </c>
    </row>
    <row r="43" spans="3:6" ht="31.5" x14ac:dyDescent="0.25">
      <c r="C43" s="25"/>
      <c r="D43" s="11" t="s">
        <v>52</v>
      </c>
      <c r="E43" s="7"/>
      <c r="F43" s="44" t="str">
        <f>IF(E43="","",IF(E43="No",0, IF(E43="Yes",  5, IF(E43="N/A",5,))))</f>
        <v/>
      </c>
    </row>
    <row r="44" spans="3:6" ht="48" thickBot="1" x14ac:dyDescent="0.3">
      <c r="C44" s="23"/>
      <c r="D44" s="21" t="s">
        <v>53</v>
      </c>
      <c r="E44" s="34"/>
      <c r="F44" s="45" t="str">
        <f>IF(E44="","",IF(E44="No",0, IF(E44="Yes",  5, IF(E44="N/A",5,))))</f>
        <v/>
      </c>
    </row>
    <row r="45" spans="3:6" ht="30" customHeight="1" thickBot="1" x14ac:dyDescent="0.35">
      <c r="C45" s="64" t="s">
        <v>54</v>
      </c>
      <c r="D45" s="65"/>
      <c r="E45" s="30" t="s">
        <v>63</v>
      </c>
      <c r="F45" s="42">
        <f>SUM(F46,F51,F55)</f>
        <v>0</v>
      </c>
    </row>
    <row r="46" spans="3:6" x14ac:dyDescent="0.25">
      <c r="C46" s="24" t="s">
        <v>55</v>
      </c>
      <c r="D46" s="22" t="s">
        <v>71</v>
      </c>
      <c r="E46" s="39"/>
      <c r="F46" s="43">
        <f>SUM(F47:F50)</f>
        <v>0</v>
      </c>
    </row>
    <row r="47" spans="3:6" ht="47.25" x14ac:dyDescent="0.25">
      <c r="C47" s="25"/>
      <c r="D47" s="8" t="s">
        <v>77</v>
      </c>
      <c r="E47" s="6"/>
      <c r="F47" s="44" t="str">
        <f>IF(E47="","",IF(E47="No",0, IF(E47="Yes",  8, IF(E47="N/A",8,))))</f>
        <v/>
      </c>
    </row>
    <row r="48" spans="3:6" ht="31.5" x14ac:dyDescent="0.25">
      <c r="C48" s="25"/>
      <c r="D48" s="11" t="s">
        <v>56</v>
      </c>
      <c r="E48" s="7"/>
      <c r="F48" s="44" t="str">
        <f>IF(E48="","",IF(E48="No",0, IF(E48="Yes", 6, IF(E48="N/A",6,))))</f>
        <v/>
      </c>
    </row>
    <row r="49" spans="3:6" ht="31.5" x14ac:dyDescent="0.25">
      <c r="C49" s="25"/>
      <c r="D49" s="9" t="s">
        <v>57</v>
      </c>
      <c r="E49" s="35"/>
      <c r="F49" s="44" t="str">
        <f>IF(E49="","",IF(E49="No",0, IF(E49="Yes", 1, IF(E49="N/A",1,))))</f>
        <v/>
      </c>
    </row>
    <row r="50" spans="3:6" ht="33.75" customHeight="1" x14ac:dyDescent="0.25">
      <c r="C50" s="25"/>
      <c r="D50" s="8" t="s">
        <v>58</v>
      </c>
      <c r="E50" s="6"/>
      <c r="F50" s="44" t="str">
        <f>IF(E50="","",IF(E50="No",0, IF(E50="Yes",1, IF(E50="N/A",1,))))</f>
        <v/>
      </c>
    </row>
    <row r="51" spans="3:6" ht="31.5" x14ac:dyDescent="0.25">
      <c r="C51" s="25" t="s">
        <v>59</v>
      </c>
      <c r="D51" s="11" t="s">
        <v>72</v>
      </c>
      <c r="E51" s="40"/>
      <c r="F51" s="44">
        <f>SUM(F52:F54)</f>
        <v>0</v>
      </c>
    </row>
    <row r="52" spans="3:6" ht="66" customHeight="1" x14ac:dyDescent="0.25">
      <c r="C52" s="25"/>
      <c r="D52" s="9" t="s">
        <v>60</v>
      </c>
      <c r="E52" s="35"/>
      <c r="F52" s="44" t="str">
        <f>IF(E52="","",IF(E52="No",0, IF(E52="Yes",4, IF(E52="N/A",4,))))</f>
        <v/>
      </c>
    </row>
    <row r="53" spans="3:6" ht="47.25" x14ac:dyDescent="0.25">
      <c r="C53" s="25"/>
      <c r="D53" s="9" t="s">
        <v>78</v>
      </c>
      <c r="E53" s="35"/>
      <c r="F53" s="44" t="str">
        <f>IF(E53="","",IF(E53="No",0, IF(E53="Yes",4, IF(E53="N/A",4,))))</f>
        <v/>
      </c>
    </row>
    <row r="54" spans="3:6" ht="63" x14ac:dyDescent="0.25">
      <c r="C54" s="25"/>
      <c r="D54" s="8" t="s">
        <v>61</v>
      </c>
      <c r="E54" s="6"/>
      <c r="F54" s="44" t="str">
        <f>IF(E54="","",IF(E54="No",0, IF(E54="Yes",4, IF(E54="N/A",4,))))</f>
        <v/>
      </c>
    </row>
    <row r="55" spans="3:6" ht="63.75" thickBot="1" x14ac:dyDescent="0.3">
      <c r="C55" s="23" t="s">
        <v>62</v>
      </c>
      <c r="D55" s="48" t="s">
        <v>73</v>
      </c>
      <c r="E55" s="49"/>
      <c r="F55" s="45" t="str">
        <f>IF(E55="","",IF(E55="No",0, IF(E55="Yes",2, IF(E55="N/A",2,))))</f>
        <v/>
      </c>
    </row>
    <row r="56" spans="3:6" ht="40.5" customHeight="1" thickBot="1" x14ac:dyDescent="0.3">
      <c r="C56" s="52" t="s">
        <v>79</v>
      </c>
      <c r="D56" s="53"/>
      <c r="E56" s="50">
        <f>SUM(F45,F34,F13,F7,F3)</f>
        <v>0</v>
      </c>
      <c r="F56" s="51" t="s">
        <v>81</v>
      </c>
    </row>
    <row r="57" spans="3:6" ht="32.25" customHeight="1" thickBot="1" x14ac:dyDescent="0.3">
      <c r="C57" s="52" t="s">
        <v>80</v>
      </c>
      <c r="D57" s="53"/>
      <c r="E57" s="32">
        <f>100-E56</f>
        <v>100</v>
      </c>
      <c r="F57" s="46"/>
    </row>
    <row r="58" spans="3:6" ht="80.25" customHeight="1" x14ac:dyDescent="0.25"/>
    <row r="59" spans="3:6" ht="80.25" customHeight="1" x14ac:dyDescent="0.25"/>
    <row r="60" spans="3:6" ht="15.75" customHeight="1" x14ac:dyDescent="0.25"/>
  </sheetData>
  <sheetProtection selectLockedCells="1"/>
  <mergeCells count="8">
    <mergeCell ref="C45:D45"/>
    <mergeCell ref="C56:D56"/>
    <mergeCell ref="C57:D57"/>
    <mergeCell ref="C1:F2"/>
    <mergeCell ref="C3:D3"/>
    <mergeCell ref="C7:D7"/>
    <mergeCell ref="C13:D13"/>
    <mergeCell ref="C34:D34"/>
  </mergeCells>
  <dataValidations count="2">
    <dataValidation type="list" allowBlank="1" showInputMessage="1" showErrorMessage="1" sqref="E21:E24 E43:E44 E18:E19 E4:E6 E35 E33 E50">
      <formula1>$B$1:$B$3</formula1>
    </dataValidation>
    <dataValidation type="list" allowBlank="1" showInputMessage="1" showErrorMessage="1" sqref="E8:E12 E43:E44 E37:E41 E26:E32 E15:E16 E49 E48 E47 E52 E53 E54 E55">
      <formula1>$B$1:$B$2</formula1>
    </dataValidation>
  </dataValidations>
  <pageMargins left="0.7" right="0.7" top="0.75" bottom="0.75" header="0.3" footer="0.3"/>
  <pageSetup orientation="portrait" r:id="rId1"/>
  <ignoredErrors>
    <ignoredError sqref="F25 F34" formula="1"/>
  </ignoredError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N1"/>
  <sheetViews>
    <sheetView workbookViewId="0"/>
  </sheetViews>
  <sheetFormatPr defaultRowHeight="15" x14ac:dyDescent="0.25"/>
  <cols>
    <col min="1" max="1" width="9.140625" style="3"/>
    <col min="2" max="2" width="9.140625" style="4"/>
    <col min="3" max="3" width="9.140625" style="5"/>
    <col min="4" max="13" width="9.140625" style="1"/>
    <col min="14" max="14" width="9.140625" style="5"/>
    <col min="15" max="16384" width="9.140625" style="1"/>
  </cols>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Sample 1</vt:lpstr>
      <vt:lpstr>Sample 2</vt:lpstr>
      <vt:lpstr>Sample 3</vt:lpstr>
      <vt:lpstr>Sample 4</vt:lpstr>
      <vt:lpstr>Sample 5</vt:lpstr>
      <vt:lpstr>Sample 6</vt:lpstr>
      <vt:lpstr>Sample 7</vt:lpstr>
      <vt:lpstr>Sample 8</vt:lpstr>
      <vt:lpstr>Sample 9</vt:lpstr>
      <vt:lpstr>Sample 10</vt:lpstr>
      <vt:lpstr>Sample 11</vt:lpstr>
      <vt:lpstr>Sample 12</vt:lpstr>
      <vt:lpstr>Sample 13</vt:lpstr>
      <vt:lpstr>Sample 14</vt:lpstr>
      <vt:lpstr>Sample 15</vt:lpstr>
      <vt:lpstr>Sample 16</vt:lpstr>
      <vt:lpstr>Sample 17</vt:lpstr>
      <vt:lpstr>Sample 18</vt:lpstr>
      <vt:lpstr>Sample 19</vt:lpstr>
      <vt:lpstr>Sample 20</vt:lpstr>
      <vt:lpstr>Sample 21</vt:lpstr>
      <vt:lpstr>Sample 22</vt:lpstr>
      <vt:lpstr>Sample 23</vt:lpstr>
      <vt:lpstr>Sample 24</vt:lpstr>
      <vt:lpstr>Sample 25</vt:lpstr>
      <vt:lpstr>Sample 26</vt:lpstr>
      <vt:lpstr>Sample 27</vt:lpstr>
      <vt:lpstr>Sample 28</vt:lpstr>
      <vt:lpstr>Sample 29</vt:lpstr>
      <vt:lpstr>Sample 30</vt:lpstr>
      <vt:lpstr>Blank Worksheet</vt:lpstr>
      <vt:lpstr>Notes</vt:lpstr>
    </vt:vector>
  </TitlesOfParts>
  <Company>U.S. Department of Education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Smith, Vernon</dc:creator>
  <cp:lastModifiedBy>Van Buren, Eric</cp:lastModifiedBy>
  <dcterms:created xsi:type="dcterms:W3CDTF">2017-03-15T14:44:57Z</dcterms:created>
  <dcterms:modified xsi:type="dcterms:W3CDTF">2017-11-13T15:49:09Z</dcterms:modified>
</cp:coreProperties>
</file>